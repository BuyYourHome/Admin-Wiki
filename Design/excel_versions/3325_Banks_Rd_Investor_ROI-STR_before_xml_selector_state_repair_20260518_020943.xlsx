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7F533756-2BF9-42A0-88E9-183504CA1422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2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1" i="3" s="1"/>
  <c r="M4" i="3"/>
  <c r="I4" i="3"/>
  <c r="E4" i="3"/>
  <c r="F5" i="3"/>
  <c r="C5" i="3" s="1"/>
  <c r="D14" i="2"/>
  <c r="N22" i="3" s="1"/>
  <c r="G10" i="6"/>
  <c r="B29" i="6" s="1"/>
  <c r="C5" i="2" l="1"/>
  <c r="D5" i="2" s="1"/>
  <c r="E22" i="3" s="1"/>
  <c r="L29" i="8"/>
  <c r="C9" i="2" s="1"/>
  <c r="D9" i="2" s="1"/>
  <c r="I22" i="3" s="1"/>
  <c r="L27" i="8"/>
  <c r="C7" i="2" s="1"/>
  <c r="D7" i="2" s="1"/>
  <c r="G22" i="3" s="1"/>
  <c r="L28" i="8"/>
  <c r="C8" i="2" s="1"/>
  <c r="D8" i="2" s="1"/>
  <c r="H22" i="3" s="1"/>
  <c r="M4" i="2"/>
  <c r="B10" i="7"/>
  <c r="B15" i="7" s="1"/>
  <c r="B41" i="1"/>
  <c r="J4" i="3" s="1"/>
  <c r="J5" i="3" s="1"/>
  <c r="B15" i="6"/>
  <c r="B14" i="6"/>
  <c r="O25" i="8" l="1"/>
  <c r="O22" i="3"/>
  <c r="P22" i="3" s="1"/>
  <c r="B20" i="3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<sst xmlns="http://schemas.openxmlformats.org/spreadsheetml/2006/main" count="450" uniqueCount="378">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</sst>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3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2" fillId="9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21" xfId="0" applyBorder="1"/>
    <xf numFmtId="0" fontId="0" fillId="0" borderId="8" xfId="0" applyBorder="1"/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10" fillId="0" borderId="0" xfId="0" applyFont="1"/>
    <xf numFmtId="0" fontId="11" fillId="10" borderId="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firstButton="1" fmlaLink="'STR Scenarios'!$H$4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123825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123825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19050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19050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19050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19050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3</xdr:row>
          <xdr:rowOff>0</xdr:rowOff>
        </xdr:from>
        <xdr:to>
          <xdr:col>22</xdr:col>
          <xdr:colOff>0</xdr:colOff>
          <xdr:row>6</xdr:row>
          <xdr:rowOff>0</xdr:rowOff>
        </xdr:to>
        <xdr:sp macro="" textlink="">
          <xdr:nvSpPr>
            <xdr:cNvPr id="2125" name="WfSTR_Group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4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138113</xdr:colOff>
          <xdr:row>2</xdr:row>
          <xdr:rowOff>190500</xdr:rowOff>
        </xdr:from>
        <xdr:to>
          <xdr:col>21</xdr:col>
          <xdr:colOff>442913</xdr:colOff>
          <xdr:row>4</xdr:row>
          <xdr:rowOff>9525</xdr:rowOff>
        </xdr:to>
        <xdr:sp macro="" textlink="">
          <xdr:nvSpPr>
            <xdr:cNvPr id="2126" name="WfSTR_Opt_1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4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138113</xdr:colOff>
          <xdr:row>3</xdr:row>
          <xdr:rowOff>190500</xdr:rowOff>
        </xdr:from>
        <xdr:to>
          <xdr:col>21</xdr:col>
          <xdr:colOff>442913</xdr:colOff>
          <xdr:row>5</xdr:row>
          <xdr:rowOff>9525</xdr:rowOff>
        </xdr:to>
        <xdr:sp macro="" textlink="">
          <xdr:nvSpPr>
            <xdr:cNvPr id="2127" name="WfSTR_Opt_2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4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138113</xdr:colOff>
          <xdr:row>4</xdr:row>
          <xdr:rowOff>190500</xdr:rowOff>
        </xdr:from>
        <xdr:to>
          <xdr:col>21</xdr:col>
          <xdr:colOff>442913</xdr:colOff>
          <xdr:row>6</xdr:row>
          <xdr:rowOff>9525</xdr:rowOff>
        </xdr:to>
        <xdr:sp macro="" textlink="">
          <xdr:nvSpPr>
            <xdr:cNvPr id="2128" name="WfSTR_Opt_3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4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3" t="s">
        <v>329</v>
      </c>
      <c r="B1" s="80"/>
      <c r="C1" s="80"/>
      <c r="D1" s="80"/>
    </row>
    <row r="2" spans="1:10" ht="15.75" thickBot="1" x14ac:dyDescent="0.3">
      <c r="B2" s="80" t="s">
        <v>333</v>
      </c>
      <c r="C2" s="80"/>
      <c r="D2" s="80"/>
    </row>
    <row r="3" spans="1:10" ht="15.75" thickBot="1" x14ac:dyDescent="0.3">
      <c r="A3" s="5" t="s">
        <v>330</v>
      </c>
      <c r="H3" s="72" t="s">
        <v>372</v>
      </c>
    </row>
    <row r="4" spans="1:10" ht="15.75" thickBot="1" x14ac:dyDescent="0.3">
      <c r="A4" t="s">
        <v>331</v>
      </c>
      <c r="D4" s="96" t="str">
        <f>IF(OR($H$4&lt;1,$H$4&gt;3),"",INDEX($B$7:$B$9,$H$4))</f>
        <v>One Floor STR + One Floor Co-Living</v>
      </c>
      <c r="E4" s="97"/>
      <c r="F4" s="98"/>
      <c r="H4" s="75">
        <v>2</v>
      </c>
    </row>
    <row r="5" spans="1:10" ht="15.75" thickBot="1" x14ac:dyDescent="0.3"/>
    <row r="6" spans="1:10" ht="15.75" thickBot="1" x14ac:dyDescent="0.3">
      <c r="A6" s="12" t="s">
        <v>373</v>
      </c>
      <c r="B6" s="84" t="s">
        <v>374</v>
      </c>
      <c r="C6" s="85"/>
      <c r="D6" s="86"/>
      <c r="E6" s="84" t="s">
        <v>375</v>
      </c>
      <c r="F6" s="85"/>
      <c r="G6" s="85"/>
      <c r="H6" s="85"/>
      <c r="I6" s="85"/>
      <c r="J6" s="86"/>
    </row>
    <row r="7" spans="1:10" ht="15.75" thickBot="1" x14ac:dyDescent="0.3">
      <c r="B7" s="87" t="s">
        <v>332</v>
      </c>
      <c r="C7" s="88"/>
      <c r="D7" s="89"/>
      <c r="E7" s="87" t="s">
        <v>336</v>
      </c>
      <c r="F7" s="88"/>
      <c r="G7" s="88"/>
      <c r="H7" s="88"/>
      <c r="I7" s="88"/>
      <c r="J7" s="89"/>
    </row>
    <row r="8" spans="1:10" ht="15.75" thickBot="1" x14ac:dyDescent="0.3">
      <c r="B8" s="90" t="s">
        <v>334</v>
      </c>
      <c r="C8" s="91"/>
      <c r="D8" s="92"/>
      <c r="E8" s="90" t="s">
        <v>376</v>
      </c>
      <c r="F8" s="91"/>
      <c r="G8" s="91"/>
      <c r="H8" s="91"/>
      <c r="I8" s="91"/>
      <c r="J8" s="92"/>
    </row>
    <row r="9" spans="1:10" ht="15.75" thickBot="1" x14ac:dyDescent="0.3">
      <c r="B9" s="93" t="s">
        <v>335</v>
      </c>
      <c r="C9" s="94"/>
      <c r="D9" s="95"/>
      <c r="E9" s="93" t="s">
        <v>377</v>
      </c>
      <c r="F9" s="94"/>
      <c r="G9" s="94"/>
      <c r="H9" s="94"/>
      <c r="I9" s="94"/>
      <c r="J9" s="95"/>
    </row>
    <row r="12" spans="1:10" x14ac:dyDescent="0.25">
      <c r="A12" s="79" t="s">
        <v>337</v>
      </c>
      <c r="B12" s="79"/>
      <c r="C12" s="79"/>
    </row>
    <row r="13" spans="1:10" ht="30" x14ac:dyDescent="0.25">
      <c r="A13" s="67" t="s">
        <v>338</v>
      </c>
      <c r="B13" s="67"/>
      <c r="C13" s="67"/>
      <c r="D13" s="67" t="s">
        <v>339</v>
      </c>
      <c r="E13" s="67" t="s">
        <v>340</v>
      </c>
      <c r="F13" s="67" t="s">
        <v>341</v>
      </c>
      <c r="G13" s="67" t="s">
        <v>292</v>
      </c>
    </row>
    <row r="14" spans="1:10" x14ac:dyDescent="0.25">
      <c r="A14" s="81" t="s">
        <v>342</v>
      </c>
      <c r="B14" s="81"/>
      <c r="C14" s="81"/>
      <c r="D14" s="68">
        <v>2500</v>
      </c>
      <c r="E14" s="68">
        <v>3250</v>
      </c>
      <c r="F14" s="68">
        <v>4000</v>
      </c>
      <c r="G14" s="74" t="s">
        <v>343</v>
      </c>
      <c r="H14" s="74"/>
      <c r="I14" s="74"/>
      <c r="J14" s="74"/>
    </row>
    <row r="15" spans="1:10" x14ac:dyDescent="0.25">
      <c r="A15" s="81" t="s">
        <v>344</v>
      </c>
      <c r="B15" s="81"/>
      <c r="C15" s="81"/>
      <c r="D15" s="69">
        <v>0.4</v>
      </c>
      <c r="E15" s="69">
        <v>0.5</v>
      </c>
      <c r="F15" s="69">
        <v>0.6</v>
      </c>
      <c r="G15" s="74" t="s">
        <v>345</v>
      </c>
      <c r="H15" s="74"/>
      <c r="I15" s="74"/>
      <c r="J15" s="74"/>
    </row>
    <row r="16" spans="1:10" x14ac:dyDescent="0.25">
      <c r="A16" s="82" t="s">
        <v>346</v>
      </c>
      <c r="B16" s="82"/>
      <c r="C16" s="82"/>
      <c r="D16" s="70">
        <v>4500</v>
      </c>
      <c r="E16" s="70">
        <v>6000</v>
      </c>
      <c r="F16" s="70">
        <v>7500</v>
      </c>
      <c r="G16" s="73" t="s">
        <v>347</v>
      </c>
      <c r="H16" s="73"/>
      <c r="I16" s="73"/>
      <c r="J16" s="73"/>
    </row>
    <row r="17" spans="1:15" x14ac:dyDescent="0.25">
      <c r="A17" s="82" t="s">
        <v>348</v>
      </c>
      <c r="B17" s="82"/>
      <c r="C17" s="82"/>
      <c r="D17" s="71">
        <v>0.35</v>
      </c>
      <c r="E17" s="71">
        <v>0.45</v>
      </c>
      <c r="F17" s="71">
        <v>0.55000000000000004</v>
      </c>
      <c r="G17" s="73" t="s">
        <v>345</v>
      </c>
      <c r="H17" s="73"/>
      <c r="I17" s="73"/>
      <c r="J17" s="73"/>
    </row>
    <row r="18" spans="1:15" x14ac:dyDescent="0.25">
      <c r="A18" s="80" t="s">
        <v>349</v>
      </c>
      <c r="B18" s="80"/>
      <c r="C18" s="80"/>
      <c r="D18" s="63">
        <v>0.08</v>
      </c>
      <c r="E18" s="63">
        <v>0.09</v>
      </c>
      <c r="F18" s="63">
        <v>0.1</v>
      </c>
      <c r="G18" t="s">
        <v>350</v>
      </c>
    </row>
    <row r="19" spans="1:15" x14ac:dyDescent="0.25">
      <c r="A19" s="80" t="s">
        <v>351</v>
      </c>
      <c r="B19" s="80"/>
      <c r="C19" s="80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79" t="s">
        <v>353</v>
      </c>
      <c r="B23" s="79"/>
      <c r="C23" s="79"/>
    </row>
    <row r="24" spans="1:15" s="66" customFormat="1" ht="60" x14ac:dyDescent="0.25">
      <c r="A24" s="66" t="s">
        <v>55</v>
      </c>
      <c r="B24" s="66" t="s">
        <v>354</v>
      </c>
      <c r="C24" s="66" t="s">
        <v>355</v>
      </c>
      <c r="D24" s="66" t="s">
        <v>356</v>
      </c>
      <c r="E24" s="66" t="s">
        <v>357</v>
      </c>
      <c r="F24" s="66" t="s">
        <v>358</v>
      </c>
      <c r="G24" s="66" t="s">
        <v>359</v>
      </c>
      <c r="H24" s="66" t="s">
        <v>360</v>
      </c>
      <c r="I24" s="66" t="s">
        <v>361</v>
      </c>
      <c r="J24" s="66" t="s">
        <v>362</v>
      </c>
      <c r="K24" s="66" t="s">
        <v>363</v>
      </c>
      <c r="L24" s="66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8">
        <f>IF(STRScenarioTable[[#This Row],[Year]]&gt;=3,$F$14,IF(STRScenarioTable[[#This Row],[Year]]&gt;=2,$E$14,$D$14))</f>
        <v>2500</v>
      </c>
      <c r="F25" s="69">
        <f>IF(STRScenarioTable[[#This Row],[Year]]&gt;=3,$F$15,IF(STRScenarioTable[[#This Row],[Year]]&gt;=2,$E$15,$D$15))</f>
        <v>0.4</v>
      </c>
      <c r="G25" s="68">
        <f>STRScenarioTable[[#This Row],[Base Annual Gross Rent]]/2</f>
        <v>52800</v>
      </c>
      <c r="H25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70">
        <f>IF(STRScenarioTable[[#This Row],[Year]]&gt;=3,$F$16,IF(STRScenarioTable[[#This Row],[Year]]&gt;=2,$E$16,$D$16))</f>
        <v>4500</v>
      </c>
      <c r="J25" s="71">
        <f>IF(STRScenarioTable[[#This Row],[Year]]&gt;=3,$F$17,IF(STRScenarioTable[[#This Row],[Year]]&gt;=2,$E$17,$D$17))</f>
        <v>0.35</v>
      </c>
      <c r="K25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95440</v>
      </c>
      <c r="O25" s="2">
        <f>SUM(SelectedAnnualGrossRent)</f>
        <v>1616535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8">
        <f>IF(STRScenarioTable[[#This Row],[Year]]&gt;=3,$F$14,IF(STRScenarioTable[[#This Row],[Year]]&gt;=2,$E$14,$D$14))</f>
        <v>3250</v>
      </c>
      <c r="F26" s="69">
        <f>IF(STRScenarioTable[[#This Row],[Year]]&gt;=3,$F$15,IF(STRScenarioTable[[#This Row],[Year]]&gt;=2,$E$15,$D$15))</f>
        <v>0.5</v>
      </c>
      <c r="G26" s="68">
        <f>STRScenarioTable[[#This Row],[Base Annual Gross Rent]]/2</f>
        <v>64800</v>
      </c>
      <c r="H26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70">
        <f>IF(STRScenarioTable[[#This Row],[Year]]&gt;=3,$F$16,IF(STRScenarioTable[[#This Row],[Year]]&gt;=2,$E$16,$D$16))</f>
        <v>6000</v>
      </c>
      <c r="J26" s="71">
        <f>IF(STRScenarioTable[[#This Row],[Year]]&gt;=3,$F$17,IF(STRScenarioTable[[#This Row],[Year]]&gt;=2,$E$17,$D$17))</f>
        <v>0.45</v>
      </c>
      <c r="K26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133895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8">
        <f>IF(STRScenarioTable[[#This Row],[Year]]&gt;=3,$F$14,IF(STRScenarioTable[[#This Row],[Year]]&gt;=2,$E$14,$D$14))</f>
        <v>4000</v>
      </c>
      <c r="F27" s="69">
        <f>IF(STRScenarioTable[[#This Row],[Year]]&gt;=3,$F$15,IF(STRScenarioTable[[#This Row],[Year]]&gt;=2,$E$15,$D$15))</f>
        <v>0.6</v>
      </c>
      <c r="G27" s="68">
        <f>STRScenarioTable[[#This Row],[Base Annual Gross Rent]]/2</f>
        <v>72000</v>
      </c>
      <c r="H27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70">
        <f>IF(STRScenarioTable[[#This Row],[Year]]&gt;=3,$F$16,IF(STRScenarioTable[[#This Row],[Year]]&gt;=2,$E$16,$D$16))</f>
        <v>7500</v>
      </c>
      <c r="J27" s="71">
        <f>IF(STRScenarioTable[[#This Row],[Year]]&gt;=3,$F$17,IF(STRScenarioTable[[#This Row],[Year]]&gt;=2,$E$17,$D$17))</f>
        <v>0.55000000000000004</v>
      </c>
      <c r="K27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8">
        <f>IF(STRScenarioTable[[#This Row],[Year]]&gt;=3,$F$14,IF(STRScenarioTable[[#This Row],[Year]]&gt;=2,$E$14,$D$14))</f>
        <v>4000</v>
      </c>
      <c r="F28" s="69">
        <f>IF(STRScenarioTable[[#This Row],[Year]]&gt;=3,$F$15,IF(STRScenarioTable[[#This Row],[Year]]&gt;=2,$E$15,$D$15))</f>
        <v>0.6</v>
      </c>
      <c r="G28" s="68">
        <f>STRScenarioTable[[#This Row],[Base Annual Gross Rent]]/2</f>
        <v>72000</v>
      </c>
      <c r="H28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70">
        <f>IF(STRScenarioTable[[#This Row],[Year]]&gt;=3,$F$16,IF(STRScenarioTable[[#This Row],[Year]]&gt;=2,$E$16,$D$16))</f>
        <v>7500</v>
      </c>
      <c r="J28" s="71">
        <f>IF(STRScenarioTable[[#This Row],[Year]]&gt;=3,$F$17,IF(STRScenarioTable[[#This Row],[Year]]&gt;=2,$E$17,$D$17))</f>
        <v>0.55000000000000004</v>
      </c>
      <c r="K28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8">
        <f>IF(STRScenarioTable[[#This Row],[Year]]&gt;=3,$F$14,IF(STRScenarioTable[[#This Row],[Year]]&gt;=2,$E$14,$D$14))</f>
        <v>4000</v>
      </c>
      <c r="F29" s="69">
        <f>IF(STRScenarioTable[[#This Row],[Year]]&gt;=3,$F$15,IF(STRScenarioTable[[#This Row],[Year]]&gt;=2,$E$15,$D$15))</f>
        <v>0.6</v>
      </c>
      <c r="G29" s="68">
        <f>STRScenarioTable[[#This Row],[Base Annual Gross Rent]]/2</f>
        <v>72000</v>
      </c>
      <c r="H29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70">
        <f>IF(STRScenarioTable[[#This Row],[Year]]&gt;=3,$F$16,IF(STRScenarioTable[[#This Row],[Year]]&gt;=2,$E$16,$D$16))</f>
        <v>7500</v>
      </c>
      <c r="J29" s="71">
        <f>IF(STRScenarioTable[[#This Row],[Year]]&gt;=3,$F$17,IF(STRScenarioTable[[#This Row],[Year]]&gt;=2,$E$17,$D$17))</f>
        <v>0.55000000000000004</v>
      </c>
      <c r="K29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8">
        <f>IF(STRScenarioTable[[#This Row],[Year]]&gt;=3,$F$14,IF(STRScenarioTable[[#This Row],[Year]]&gt;=2,$E$14,$D$14))</f>
        <v>4000</v>
      </c>
      <c r="F30" s="69">
        <f>IF(STRScenarioTable[[#This Row],[Year]]&gt;=3,$F$15,IF(STRScenarioTable[[#This Row],[Year]]&gt;=2,$E$15,$D$15))</f>
        <v>0.6</v>
      </c>
      <c r="G30" s="68">
        <f>STRScenarioTable[[#This Row],[Base Annual Gross Rent]]/2</f>
        <v>72000</v>
      </c>
      <c r="H30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70">
        <f>IF(STRScenarioTable[[#This Row],[Year]]&gt;=3,$F$16,IF(STRScenarioTable[[#This Row],[Year]]&gt;=2,$E$16,$D$16))</f>
        <v>7500</v>
      </c>
      <c r="J30" s="71">
        <f>IF(STRScenarioTable[[#This Row],[Year]]&gt;=3,$F$17,IF(STRScenarioTable[[#This Row],[Year]]&gt;=2,$E$17,$D$17))</f>
        <v>0.55000000000000004</v>
      </c>
      <c r="K30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8">
        <f>IF(STRScenarioTable[[#This Row],[Year]]&gt;=3,$F$14,IF(STRScenarioTable[[#This Row],[Year]]&gt;=2,$E$14,$D$14))</f>
        <v>4000</v>
      </c>
      <c r="F31" s="69">
        <f>IF(STRScenarioTable[[#This Row],[Year]]&gt;=3,$F$15,IF(STRScenarioTable[[#This Row],[Year]]&gt;=2,$E$15,$D$15))</f>
        <v>0.6</v>
      </c>
      <c r="G31" s="68">
        <f>STRScenarioTable[[#This Row],[Base Annual Gross Rent]]/2</f>
        <v>72000</v>
      </c>
      <c r="H31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70">
        <f>IF(STRScenarioTable[[#This Row],[Year]]&gt;=3,$F$16,IF(STRScenarioTable[[#This Row],[Year]]&gt;=2,$E$16,$D$16))</f>
        <v>7500</v>
      </c>
      <c r="J31" s="71">
        <f>IF(STRScenarioTable[[#This Row],[Year]]&gt;=3,$F$17,IF(STRScenarioTable[[#This Row],[Year]]&gt;=2,$E$17,$D$17))</f>
        <v>0.55000000000000004</v>
      </c>
      <c r="K31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8">
        <f>IF(STRScenarioTable[[#This Row],[Year]]&gt;=3,$F$14,IF(STRScenarioTable[[#This Row],[Year]]&gt;=2,$E$14,$D$14))</f>
        <v>4000</v>
      </c>
      <c r="F32" s="69">
        <f>IF(STRScenarioTable[[#This Row],[Year]]&gt;=3,$F$15,IF(STRScenarioTable[[#This Row],[Year]]&gt;=2,$E$15,$D$15))</f>
        <v>0.6</v>
      </c>
      <c r="G32" s="68">
        <f>STRScenarioTable[[#This Row],[Base Annual Gross Rent]]/2</f>
        <v>72000</v>
      </c>
      <c r="H32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70">
        <f>IF(STRScenarioTable[[#This Row],[Year]]&gt;=3,$F$16,IF(STRScenarioTable[[#This Row],[Year]]&gt;=2,$E$16,$D$16))</f>
        <v>7500</v>
      </c>
      <c r="J32" s="71">
        <f>IF(STRScenarioTable[[#This Row],[Year]]&gt;=3,$F$17,IF(STRScenarioTable[[#This Row],[Year]]&gt;=2,$E$17,$D$17))</f>
        <v>0.55000000000000004</v>
      </c>
      <c r="K32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8">
        <f>IF(STRScenarioTable[[#This Row],[Year]]&gt;=3,$F$14,IF(STRScenarioTable[[#This Row],[Year]]&gt;=2,$E$14,$D$14))</f>
        <v>4000</v>
      </c>
      <c r="F33" s="69">
        <f>IF(STRScenarioTable[[#This Row],[Year]]&gt;=3,$F$15,IF(STRScenarioTable[[#This Row],[Year]]&gt;=2,$E$15,$D$15))</f>
        <v>0.6</v>
      </c>
      <c r="G33" s="68">
        <f>STRScenarioTable[[#This Row],[Base Annual Gross Rent]]/2</f>
        <v>72000</v>
      </c>
      <c r="H33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70">
        <f>IF(STRScenarioTable[[#This Row],[Year]]&gt;=3,$F$16,IF(STRScenarioTable[[#This Row],[Year]]&gt;=2,$E$16,$D$16))</f>
        <v>7500</v>
      </c>
      <c r="J33" s="71">
        <f>IF(STRScenarioTable[[#This Row],[Year]]&gt;=3,$F$17,IF(STRScenarioTable[[#This Row],[Year]]&gt;=2,$E$17,$D$17))</f>
        <v>0.55000000000000004</v>
      </c>
      <c r="K33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8">
        <f>IF(STRScenarioTable[[#This Row],[Year]]&gt;=3,$F$14,IF(STRScenarioTable[[#This Row],[Year]]&gt;=2,$E$14,$D$14))</f>
        <v>4000</v>
      </c>
      <c r="F34" s="69">
        <f>IF(STRScenarioTable[[#This Row],[Year]]&gt;=3,$F$15,IF(STRScenarioTable[[#This Row],[Year]]&gt;=2,$E$15,$D$15))</f>
        <v>0.6</v>
      </c>
      <c r="G34" s="68">
        <f>STRScenarioTable[[#This Row],[Base Annual Gross Rent]]/2</f>
        <v>72000</v>
      </c>
      <c r="H34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70">
        <f>IF(STRScenarioTable[[#This Row],[Year]]&gt;=3,$F$16,IF(STRScenarioTable[[#This Row],[Year]]&gt;=2,$E$16,$D$16))</f>
        <v>7500</v>
      </c>
      <c r="J34" s="71">
        <f>IF(STRScenarioTable[[#This Row],[Year]]&gt;=3,$F$17,IF(STRScenarioTable[[#This Row],[Year]]&gt;=2,$E$17,$D$17))</f>
        <v>0.55000000000000004</v>
      </c>
      <c r="K34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173400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365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One Floor STR + One Floor Co-Living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366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01" t="s">
        <v>281</v>
      </c>
      <c r="E7" s="101"/>
      <c r="F7" s="101"/>
      <c r="G7" s="101"/>
      <c r="H7" s="101"/>
      <c r="I7" s="101"/>
      <c r="J7" s="101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99" t="s">
        <v>53</v>
      </c>
      <c r="C48" s="100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2" t="s">
        <v>54</v>
      </c>
      <c r="B1" s="80"/>
      <c r="C1" s="8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95440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47720</v>
      </c>
      <c r="E5" s="13">
        <f>IF(AnnualModelTable[[#This Row],[Year]]&gt;SaleExitYear,0,AnnualModelTable[[#This Row],[Occupancy Effective Gross Income]]*OperatingExpenseRatio)</f>
        <v>22386.637873357227</v>
      </c>
      <c r="F5" s="13">
        <f>IF(AnnualModelTable[[#This Row],[Year]]&gt;SaleExitYear,0,AnnualModelTable[[#This Row],[Occupancy Effective Gross Income]]-AnnualModelTable[[#This Row],[Operating Expenses]])</f>
        <v>25333.362126642773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11521.362126642773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2521.3621266427726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2521.3621266427726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133895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124522.35</v>
      </c>
      <c r="E6" s="13">
        <f>IF(AnnualModelTable[[#This Row],[Year]]&gt;SaleExitYear,0,AnnualModelTable[[#This Row],[Occupancy Effective Gross Income]]*OperatingExpenseRatio)</f>
        <v>58416.528847222224</v>
      </c>
      <c r="F6" s="13">
        <f>IF(AnnualModelTable[[#This Row],[Year]]&gt;SaleExitYear,0,AnnualModelTable[[#This Row],[Occupancy Effective Gross Income]]-AnnualModelTable[[#This Row],[Operating Expenses]])</f>
        <v>66105.821152777789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52293.821152777789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52293.821152777789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52293.821152777789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7" s="13">
        <f>IF(AnnualModelTable[[#This Row],[Year]]&gt;SaleExitYear,0,AnnualModelTable[[#This Row],[Occupancy Effective Gross Income]]*OperatingExpenseRatio)</f>
        <v>75652.011666666658</v>
      </c>
      <c r="F7" s="13">
        <f>IF(AnnualModelTable[[#This Row],[Year]]&gt;SaleExitYear,0,AnnualModelTable[[#This Row],[Occupancy Effective Gross Income]]-AnnualModelTable[[#This Row],[Operating Expenses]])</f>
        <v>85609.988333333342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30068.165683581683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568344.60568358179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568344.60568358179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8" s="13">
        <f>IF(AnnualModelTable[[#This Row],[Year]]&gt;SaleExitYear,0,AnnualModelTable[[#This Row],[Occupancy Effective Gross Income]]*OperatingExpenseRatio)</f>
        <v>75652.011666666658</v>
      </c>
      <c r="F8" s="13">
        <f>IF(AnnualModelTable[[#This Row],[Year]]&gt;SaleExitYear,0,AnnualModelTable[[#This Row],[Occupancy Effective Gross Income]]-AnnualModelTable[[#This Row],[Operating Expenses]])</f>
        <v>85609.988333333342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30068.165683581683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30068.165683581683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30068.165683581683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173400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161262</v>
      </c>
      <c r="E9" s="13">
        <f>IF(AnnualModelTable[[#This Row],[Year]]&gt;SaleExitYear,0,AnnualModelTable[[#This Row],[Occupancy Effective Gross Income]]*OperatingExpenseRatio)</f>
        <v>75652.011666666658</v>
      </c>
      <c r="F9" s="13">
        <f>IF(AnnualModelTable[[#This Row],[Year]]&gt;SaleExitYear,0,AnnualModelTable[[#This Row],[Occupancy Effective Gross Income]]-AnnualModelTable[[#This Row],[Operating Expenses]])</f>
        <v>85609.988333333342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30068.165683581683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1234496.0317666666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1264564.1974502483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1264564.1974502485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1259689.8283333334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tabSelected="1" workbookViewId="0">
      <selection activeCell="W6" sqref="W6:Y6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22" width="8.7109375" style="6" customWidth="1"/>
    <col min="23" max="23" width="10.140625" style="6" customWidth="1"/>
    <col min="24" max="24" width="14.85546875" style="6" customWidth="1"/>
    <col min="25" max="25" width="13.85546875" style="6" customWidth="1"/>
    <col min="26" max="26" width="13" style="6" customWidth="1"/>
    <col min="27" max="27" width="11.28515625" style="6" customWidth="1"/>
    <col min="28" max="29" width="10.7109375" style="6" customWidth="1"/>
    <col min="30" max="30" width="15" style="6" customWidth="1"/>
    <col min="31" max="31" width="13" style="6" customWidth="1"/>
    <col min="32" max="16384" width="9.140625" style="6"/>
  </cols>
  <sheetData>
    <row r="1" spans="1:31" ht="18.75" x14ac:dyDescent="0.3">
      <c r="A1" s="102" t="s">
        <v>68</v>
      </c>
      <c r="B1" s="80"/>
      <c r="C1" s="80"/>
      <c r="D1" s="13"/>
      <c r="E1" s="13"/>
      <c r="F1" s="13"/>
      <c r="G1" s="13"/>
      <c r="H1" s="13"/>
      <c r="I1" s="13"/>
      <c r="J1" s="13"/>
      <c r="R1" s="13"/>
      <c r="S1" s="13"/>
    </row>
    <row r="2" spans="1:31" ht="15.75" thickBot="1" x14ac:dyDescent="0.3">
      <c r="A2" s="13"/>
      <c r="B2" s="13"/>
      <c r="C2" s="106" t="s">
        <v>267</v>
      </c>
      <c r="D2" s="104"/>
      <c r="E2" s="104"/>
      <c r="F2" s="104"/>
      <c r="G2" s="104"/>
      <c r="H2" s="104"/>
      <c r="I2" s="104"/>
      <c r="J2" s="103" t="s">
        <v>89</v>
      </c>
      <c r="K2" s="104"/>
      <c r="L2" s="104"/>
      <c r="M2" s="104"/>
      <c r="N2" s="105" t="s">
        <v>90</v>
      </c>
      <c r="O2" s="104"/>
      <c r="P2" s="104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  <c r="V3" s="76" t="s">
        <v>373</v>
      </c>
      <c r="W3" s="84" t="s">
        <v>374</v>
      </c>
      <c r="X3" s="85"/>
      <c r="Y3" s="86"/>
      <c r="Z3" s="84" t="s">
        <v>375</v>
      </c>
      <c r="AA3" s="85"/>
      <c r="AB3" s="85"/>
      <c r="AC3" s="85"/>
      <c r="AD3" s="85"/>
      <c r="AE3" s="86"/>
    </row>
    <row r="4" spans="1:31" ht="15.75" customHeight="1" thickBot="1" x14ac:dyDescent="0.3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  <c r="V4" s="77"/>
      <c r="W4" s="87" t="s">
        <v>332</v>
      </c>
      <c r="X4" s="88"/>
      <c r="Y4" s="89"/>
      <c r="Z4" s="87" t="s">
        <v>336</v>
      </c>
      <c r="AA4" s="88"/>
      <c r="AB4" s="88"/>
      <c r="AC4" s="88"/>
      <c r="AD4" s="88"/>
      <c r="AE4" s="89"/>
    </row>
    <row r="5" spans="1:31" ht="15.75" customHeight="1" thickBot="1" x14ac:dyDescent="0.3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2521.3621266427726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2521.3621266427726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2521.3621266427726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  <c r="V5" s="77"/>
      <c r="W5" s="90" t="s">
        <v>334</v>
      </c>
      <c r="X5" s="91"/>
      <c r="Y5" s="92"/>
      <c r="Z5" s="90" t="s">
        <v>376</v>
      </c>
      <c r="AA5" s="91"/>
      <c r="AB5" s="91"/>
      <c r="AC5" s="91"/>
      <c r="AD5" s="91"/>
      <c r="AE5" s="92"/>
    </row>
    <row r="6" spans="1:31" ht="15.75" customHeight="1" thickBot="1" x14ac:dyDescent="0.3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52293.821152777789</v>
      </c>
      <c r="C6" s="13">
        <f>IF(WaterfallTable[[#This Row],[Year]]&gt;SaleExitYear,0,WaterfallTable[[#This Row],[Capital Balance A]]*ClassAPreferredReturn)</f>
        <v>23798.291029868578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71798.291029868575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297478.63787335722</v>
      </c>
      <c r="G6" s="13">
        <f>IF(WaterfallTable[[#This Row],[Year]]&gt;SaleExitYear,0,IF(WaterfallTable[[#This Row],[Year]]=0,0,MIN(WaterfallTable[[#This Row],[Cash Available]],WaterfallTable[[#This Row],[Capital Balance A]])))</f>
        <v>52293.821152777789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52293.821152777789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  <c r="V6" s="78"/>
      <c r="W6" s="93" t="s">
        <v>335</v>
      </c>
      <c r="X6" s="94"/>
      <c r="Y6" s="95"/>
      <c r="Z6" s="93" t="s">
        <v>377</v>
      </c>
      <c r="AA6" s="94"/>
      <c r="AB6" s="94"/>
      <c r="AC6" s="94"/>
      <c r="AD6" s="94"/>
      <c r="AE6" s="95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568344.60568358179</v>
      </c>
      <c r="C7" s="13">
        <f>IF(WaterfallTable[[#This Row],[Year]]&gt;SaleExitYear,0,WaterfallTable[[#This Row],[Capital Balance A]]*ClassAPreferredReturn)</f>
        <v>19614.785337646354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91413.076367514936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245184.81672057943</v>
      </c>
      <c r="G7" s="13">
        <f>IF(WaterfallTable[[#This Row],[Year]]&gt;SaleExitYear,0,IF(WaterfallTable[[#This Row],[Year]]=0,0,MIN(WaterfallTable[[#This Row],[Cash Available]],WaterfallTable[[#This Row],[Capital Balance A]])))</f>
        <v>245184.81672057943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245184.81672057943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323159.78896300239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323159.78896300239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30068.165683581683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91413.076367514936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224340.21103699761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30068.165683581683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30068.165683581683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1264564.1974502483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91413.076367514936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173252.93375740133</v>
      </c>
      <c r="I9" s="13">
        <f>IF(WaterfallTable[[#This Row],[Year]]&gt;SaleExitYear,0,WaterfallTable[[#This Row],[Pref Paid]]+WaterfallTable[[#This Row],[Capital Returned A]]+WaterfallTable[[#This Row],[Residual A]])</f>
        <v>264666.01012491627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194272.04535341595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194272.04535341595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316186.60410725744</v>
      </c>
      <c r="M9" s="13">
        <f>IF(WaterfallTable[[#This Row],[Year]]&gt;SaleExitYear,0,WaterfallTable[[#This Row],[Capital Returned B]]+WaterfallTable[[#This Row],[ Residual   B]])</f>
        <v>510458.64946067339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489439.53786465875</v>
      </c>
      <c r="P9" s="13">
        <f>IF(WaterfallTable[[#This Row],[Year]]&gt;SaleExitYear,0,WaterfallTable[[#This Row],[Property Payment]]+WaterfallTable[[#This Row],[Residual]])</f>
        <v>489439.53786465875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2521.3621266427726</v>
      </c>
      <c r="F19" s="41">
        <f>IF(2&gt;SaleExitYear,0,INDEX(WaterfallTable[Total Dist A],MATCH(2,WaterfallTable[Year],0)))</f>
        <v>52293.821152777789</v>
      </c>
      <c r="G19" s="41">
        <f>IF(3&gt;SaleExitYear,0,INDEX(WaterfallTable[Total Dist A],MATCH(3,WaterfallTable[Year],0)))</f>
        <v>245184.81672057943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264666.01012491627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264666.01012491627</v>
      </c>
      <c r="P19" s="41">
        <f>ReturnsTable[[#This Row],[Total Profit]]+ReturnsTable[[#This Row],[Capital Investment]]</f>
        <v>564666.01012491621</v>
      </c>
      <c r="Q19" s="42">
        <f>IFERROR(ReturnsTable[[#This Row],[Total Dist]]/ReturnsTable[[#This Row],[Capital Investment]],0)</f>
        <v>1.8822200337497208</v>
      </c>
      <c r="R19" s="53">
        <f>IFERROR(ReturnsTable[[#This Row],[Total Profit]]/ReturnsTable[[#This Row],[Capital Investment]],0)</f>
        <v>0.88222003374972091</v>
      </c>
      <c r="S19" s="60">
        <f>IFERROR(IRR(ReturnsTable[[#This Row],[Initial Capitalization]:[Year 10]]),0)</f>
        <v>0.18498025525507211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323159.78896300239</v>
      </c>
      <c r="H20" s="43">
        <f>IF(4&gt;SaleExitYear,0,INDEX(WaterfallTable[Total Dist B],MATCH(4,WaterfallTable[Year],0)))</f>
        <v>30068.165683581683</v>
      </c>
      <c r="I20" s="43">
        <f>IF(5&gt;SaleExitYear,0,INDEX(WaterfallTable[Total Dist B],MATCH(5,WaterfallTable[Year],0)))</f>
        <v>510458.64946067339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316186.60410725744</v>
      </c>
      <c r="P20" s="43">
        <f>ReturnsTable[[#This Row],[Total Profit]]+ReturnsTable[[#This Row],[Capital Investment]]</f>
        <v>863686.60410725744</v>
      </c>
      <c r="Q20" s="44">
        <f>IFERROR(ReturnsTable[[#This Row],[Total Dist]]/ReturnsTable[[#This Row],[Capital Investment]],0)</f>
        <v>1.5775097791913377</v>
      </c>
      <c r="R20" s="54">
        <f>IFERROR(ReturnsTable[[#This Row],[Total Profit]]/ReturnsTable[[#This Row],[Capital Investment]],0)</f>
        <v>0.57750977919133784</v>
      </c>
      <c r="S20" s="60">
        <f>IFERROR(IRR(ReturnsTable[[#This Row],[Initial Capitalization]:[Year 10]]),0)</f>
        <v>0.11563386411139498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489439.53786465875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453156.53786465875</v>
      </c>
      <c r="P21" s="45">
        <f>ReturnsTable[[#This Row],[Total Profit]]+ReturnsTable[[#This Row],[Capital Investment]]</f>
        <v>589439.53786465875</v>
      </c>
      <c r="Q21" s="46">
        <f>IFERROR(ReturnsTable[[#This Row],[Total Dist]]/ReturnsTable[[#This Row],[Capital Investment]],0)</f>
        <v>4.3251141952015937</v>
      </c>
      <c r="R21" s="55">
        <f>IFERROR(ReturnsTable[[#This Row],[Total Profit]]/ReturnsTable[[#This Row],[Capital Investment]],0)</f>
        <v>3.3251141952015932</v>
      </c>
      <c r="S21" s="60">
        <f>IFERROR(IRR(ReturnsTable[[#This Row],[Initial Capitalization]:[Year 10]]),0)</f>
        <v>0.68267085359075441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2863.2</v>
      </c>
      <c r="F22" s="47">
        <f>IF(2&gt;SaleExitYear,0,ManagementFeeRate*INDEX(AnnualModelTable[Occupancy Effective Gross Income],MATCH(2,AnnualModelTable[Year],0)))</f>
        <v>7471.3410000000003</v>
      </c>
      <c r="G22" s="47">
        <f>IF(3&gt;SaleExitYear,0,ManagementFeeRate*INDEX(AnnualModelTable[Occupancy Effective Gross Income],MATCH(3,AnnualModelTable[Year],0)))</f>
        <v>9675.7199999999993</v>
      </c>
      <c r="H22" s="47">
        <f>IF(4&gt;SaleExitYear,0,ManagementFeeRate*INDEX(AnnualModelTable[Occupancy Effective Gross Income],MATCH(4,AnnualModelTable[Year],0)))</f>
        <v>9675.7199999999993</v>
      </c>
      <c r="I22" s="47">
        <f>IF(5&gt;SaleExitYear,0,ManagementFeeRate*INDEX(AnnualModelTable[Occupancy Effective Gross Income],MATCH(5,AnnualModelTable[Year],0)))</f>
        <v>9675.7199999999993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39361.701000000001</v>
      </c>
      <c r="P22" s="47">
        <f>ReturnsTable[[#This Row],[Total Profit]]</f>
        <v>39361.701000000001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12">
    <mergeCell ref="A1:C1"/>
    <mergeCell ref="J2:M2"/>
    <mergeCell ref="N2:P2"/>
    <mergeCell ref="C2:I2"/>
    <mergeCell ref="W3:Y3"/>
    <mergeCell ref="W6:Y6"/>
    <mergeCell ref="Z6:AE6"/>
    <mergeCell ref="Z3:AE3"/>
    <mergeCell ref="W4:Y4"/>
    <mergeCell ref="Z4:AE4"/>
    <mergeCell ref="W5:Y5"/>
    <mergeCell ref="Z5:AE5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26" name="WfSTR_Group">
              <controlPr defaultSize="0" autoPict="0">
                <anchor moveWithCells="1">
                  <from>
                    <xdr:col>21</xdr:col>
                    <xdr:colOff>0</xdr:colOff>
                    <xdr:row>3</xdr:row>
                    <xdr:rowOff>0</xdr:rowOff>
                  </from>
                  <to>
                    <xdr:col>22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27" name="WfSTR_Opt_1">
              <controlPr defaultSize="0" autoFill="0" autoLine="0" autoPict="0">
                <anchor moveWithCells="1">
                  <from>
                    <xdr:col>21</xdr:col>
                    <xdr:colOff>142875</xdr:colOff>
                    <xdr:row>2</xdr:row>
                    <xdr:rowOff>190500</xdr:rowOff>
                  </from>
                  <to>
                    <xdr:col>21</xdr:col>
                    <xdr:colOff>447675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28" name="WfSTR_Opt_2">
              <controlPr defaultSize="0" autoFill="0" autoLine="0" autoPict="0">
                <anchor moveWithCells="1">
                  <from>
                    <xdr:col>21</xdr:col>
                    <xdr:colOff>142875</xdr:colOff>
                    <xdr:row>3</xdr:row>
                    <xdr:rowOff>190500</xdr:rowOff>
                  </from>
                  <to>
                    <xdr:col>21</xdr:col>
                    <xdr:colOff>447675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29" name="WfSTR_Opt_3">
              <controlPr defaultSize="0" autoFill="0" autoLine="0" autoPict="0">
                <anchor moveWithCells="1">
                  <from>
                    <xdr:col>21</xdr:col>
                    <xdr:colOff>142875</xdr:colOff>
                    <xdr:row>4</xdr:row>
                    <xdr:rowOff>190500</xdr:rowOff>
                  </from>
                  <to>
                    <xdr:col>21</xdr:col>
                    <xdr:colOff>447675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2" t="s">
        <v>270</v>
      </c>
      <c r="B1" s="100"/>
      <c r="C1" s="100"/>
      <c r="D1" s="10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564666.01012491621</v>
      </c>
      <c r="D4" s="13">
        <f>C4-B4</f>
        <v>264666.01012491621</v>
      </c>
      <c r="E4" s="13">
        <f>IFERROR(C4/B4,0)</f>
        <v>1.8822200337497208</v>
      </c>
      <c r="F4" s="24">
        <f>IFERROR(D4/B4,0)</f>
        <v>0.88222003374972069</v>
      </c>
      <c r="G4" s="24">
        <f>IRR(H4:R4)</f>
        <v>0.18498025525507211</v>
      </c>
      <c r="H4" s="13">
        <f>-B4</f>
        <v>-300000</v>
      </c>
      <c r="I4" s="13">
        <f>INDEX(Waterfall!$I$4:$I$14,MATCH(1,Waterfall!$A$4:$A$14,0))</f>
        <v>2521.3621266427726</v>
      </c>
      <c r="J4" s="13">
        <f>INDEX(Waterfall!$I$4:$I$14,MATCH(2,Waterfall!$A$4:$A$14,0))</f>
        <v>52293.821152777789</v>
      </c>
      <c r="K4" s="13">
        <f>INDEX(Waterfall!$I$4:$I$14,MATCH(3,Waterfall!$A$4:$A$14,0))</f>
        <v>245184.81672057943</v>
      </c>
      <c r="L4" s="13">
        <f>INDEX(Waterfall!$I$4:$I$14,MATCH(4,Waterfall!$A$4:$A$14,0))</f>
        <v>0</v>
      </c>
      <c r="M4" s="13">
        <f>INDEX(Waterfall!$I$4:$I$14,MATCH(5,Waterfall!$A$4:$A$14,0))</f>
        <v>264666.01012491627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863686.60410725744</v>
      </c>
      <c r="D5" s="13">
        <f>C5-B5</f>
        <v>316186.60410725744</v>
      </c>
      <c r="E5" s="13">
        <f>IFERROR(C5/B5,0)</f>
        <v>1.5775097791913377</v>
      </c>
      <c r="F5" s="24">
        <f>IFERROR(D5/B5,0)</f>
        <v>0.57750977919133784</v>
      </c>
      <c r="G5" s="24">
        <f>IFERROR(IRR(H5:R5),0)</f>
        <v>0.11563386411139498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323159.78896300239</v>
      </c>
      <c r="L5" s="13">
        <f>INDEX(Waterfall!$M$4:$M$14,MATCH(4,Waterfall!$A$4:$A$14,0))</f>
        <v>30068.165683581683</v>
      </c>
      <c r="M5" s="13">
        <f>INDEX(Waterfall!$M$4:$M$14,MATCH(5,Waterfall!$A$4:$A$14,0))</f>
        <v>510458.64946067339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589439.53786465875</v>
      </c>
      <c r="D6" s="13">
        <f>C6-B6</f>
        <v>489439.53786465875</v>
      </c>
      <c r="E6" s="13">
        <f>IFERROR(C6/B6,0)</f>
        <v>5.8943953786465872</v>
      </c>
      <c r="F6" s="24">
        <f>IFERROR(D6/B6,0)</f>
        <v>4.8943953786465872</v>
      </c>
      <c r="G6" s="24">
        <f>IFERROR(IRR(H6:R6),0)</f>
        <v>0.37385155589335195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489439.53786465875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99" t="s">
        <v>266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07" t="s">
        <v>104</v>
      </c>
      <c r="C2" s="100"/>
      <c r="D2" s="100"/>
    </row>
    <row r="3" spans="1:10" x14ac:dyDescent="0.25">
      <c r="A3" s="13" t="s">
        <v>105</v>
      </c>
      <c r="B3" s="107" t="s">
        <v>106</v>
      </c>
      <c r="C3" s="100"/>
      <c r="D3" s="100"/>
      <c r="E3" s="100"/>
      <c r="F3" s="100"/>
      <c r="G3" s="100"/>
      <c r="H3" s="100"/>
      <c r="I3" s="100"/>
    </row>
    <row r="4" spans="1:10" x14ac:dyDescent="0.25">
      <c r="A4" s="13"/>
      <c r="B4" s="13"/>
      <c r="C4" s="107"/>
      <c r="D4" s="80"/>
      <c r="E4" s="80"/>
      <c r="F4" s="80"/>
      <c r="H4" s="13"/>
    </row>
    <row r="5" spans="1:10" ht="15.75" thickBot="1" x14ac:dyDescent="0.3">
      <c r="A5" s="13"/>
      <c r="B5" s="13"/>
      <c r="C5" s="107"/>
      <c r="D5" s="80"/>
      <c r="E5" s="80"/>
      <c r="F5" s="80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00" t="s">
        <v>160</v>
      </c>
      <c r="C62" s="100"/>
      <c r="D62" s="100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00" t="s">
        <v>164</v>
      </c>
      <c r="D66" s="100"/>
      <c r="E66" s="100"/>
      <c r="F66" s="100"/>
      <c r="G66" s="100"/>
    </row>
    <row r="67" spans="1:7" x14ac:dyDescent="0.25">
      <c r="A67" s="6" t="s">
        <v>165</v>
      </c>
      <c r="B67" s="6" t="s">
        <v>163</v>
      </c>
      <c r="C67" s="100" t="s">
        <v>164</v>
      </c>
      <c r="D67" s="100"/>
      <c r="E67" s="100"/>
      <c r="F67" s="100"/>
      <c r="G67" s="100"/>
    </row>
    <row r="68" spans="1:7" x14ac:dyDescent="0.25">
      <c r="A68" s="6" t="s">
        <v>166</v>
      </c>
      <c r="B68" s="6" t="s">
        <v>163</v>
      </c>
      <c r="C68" s="100" t="s">
        <v>164</v>
      </c>
      <c r="D68" s="100"/>
      <c r="E68" s="100"/>
      <c r="F68" s="100"/>
      <c r="G68" s="100"/>
    </row>
    <row r="69" spans="1:7" x14ac:dyDescent="0.25">
      <c r="A69" s="6" t="s">
        <v>167</v>
      </c>
      <c r="B69" s="6" t="s">
        <v>163</v>
      </c>
      <c r="C69" s="100" t="s">
        <v>164</v>
      </c>
      <c r="D69" s="100"/>
      <c r="E69" s="100"/>
      <c r="F69" s="100"/>
      <c r="G69" s="100"/>
    </row>
    <row r="70" spans="1:7" x14ac:dyDescent="0.25">
      <c r="A70" s="6" t="s">
        <v>168</v>
      </c>
      <c r="B70" s="6" t="s">
        <v>169</v>
      </c>
      <c r="C70" s="100" t="s">
        <v>170</v>
      </c>
      <c r="D70" s="100"/>
      <c r="E70" s="100"/>
      <c r="F70" s="100"/>
      <c r="G70" s="100"/>
    </row>
    <row r="71" spans="1:7" x14ac:dyDescent="0.25">
      <c r="A71" s="6" t="s">
        <v>171</v>
      </c>
      <c r="B71" s="6" t="s">
        <v>163</v>
      </c>
      <c r="C71" s="100" t="s">
        <v>172</v>
      </c>
      <c r="D71" s="100"/>
      <c r="E71" s="100"/>
      <c r="F71" s="100"/>
      <c r="G71" s="100"/>
    </row>
    <row r="72" spans="1:7" x14ac:dyDescent="0.25">
      <c r="A72" s="6" t="s">
        <v>173</v>
      </c>
      <c r="B72" s="6" t="s">
        <v>163</v>
      </c>
      <c r="C72" s="100" t="s">
        <v>174</v>
      </c>
      <c r="D72" s="100"/>
      <c r="E72" s="100"/>
      <c r="F72" s="100"/>
      <c r="G72" s="100"/>
    </row>
    <row r="73" spans="1:7" x14ac:dyDescent="0.25">
      <c r="A73" s="6" t="s">
        <v>175</v>
      </c>
      <c r="B73" s="6" t="s">
        <v>163</v>
      </c>
      <c r="C73" s="100" t="s">
        <v>176</v>
      </c>
      <c r="D73" s="100"/>
      <c r="E73" s="100"/>
      <c r="F73" s="100"/>
      <c r="G73" s="100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00" t="s">
        <v>179</v>
      </c>
      <c r="D76" s="100"/>
      <c r="E76" s="100"/>
      <c r="F76" s="100"/>
      <c r="G76" s="100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00" t="s">
        <v>185</v>
      </c>
      <c r="D81" s="100"/>
      <c r="E81" s="100"/>
      <c r="F81" s="100"/>
      <c r="G81" s="100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2026-05-18T06:06:55Z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