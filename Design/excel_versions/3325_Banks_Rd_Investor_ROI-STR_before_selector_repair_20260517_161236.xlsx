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trlProps/ctrlProp27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5A0BA552-AE89-45A9-AD2F-BAB8DBF41878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2" i="3"/>
  <c r="R22" i="3"/>
  <c r="Q22" i="3"/>
  <c r="D22" i="3"/>
  <c r="C22" i="3"/>
  <c r="C21" i="3"/>
  <c r="C19" i="3"/>
  <c r="B22" i="3"/>
  <c r="B21" i="3"/>
  <c r="B19" i="3"/>
  <c r="D19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L34" i="8" s="1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1" i="3"/>
  <c r="N20" i="3"/>
  <c r="N19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2" i="3" s="1"/>
  <c r="D12" i="2"/>
  <c r="L22" i="3" s="1"/>
  <c r="P4" i="2"/>
  <c r="D11" i="2"/>
  <c r="K22" i="3" s="1"/>
  <c r="G4" i="2"/>
  <c r="O4" i="2"/>
  <c r="N5" i="3"/>
  <c r="D10" i="2"/>
  <c r="J22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26" i="8"/>
  <c r="C6" i="2" s="1"/>
  <c r="D6" i="2" s="1"/>
  <c r="F22" i="3" s="1"/>
  <c r="C5" i="2"/>
  <c r="D5" i="2" s="1"/>
  <c r="E22" i="3" s="1"/>
  <c r="G29" i="8"/>
  <c r="H29" i="8" s="1"/>
  <c r="L29" i="8" s="1"/>
  <c r="C9" i="2" s="1"/>
  <c r="D9" i="2" s="1"/>
  <c r="I22" i="3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L28" i="8" s="1"/>
  <c r="C8" i="2" s="1"/>
  <c r="D8" i="2" s="1"/>
  <c r="H22" i="3" s="1"/>
  <c r="G32" i="8"/>
  <c r="H32" i="8" s="1"/>
  <c r="L32" i="8" s="1"/>
  <c r="G27" i="8"/>
  <c r="H27" i="8" s="1"/>
  <c r="L27" i="8" s="1"/>
  <c r="C7" i="2" s="1"/>
  <c r="D7" i="2" s="1"/>
  <c r="G22" i="3" s="1"/>
  <c r="P4" i="3"/>
  <c r="D21" i="3" s="1"/>
  <c r="M4" i="3"/>
  <c r="I4" i="3"/>
  <c r="E4" i="3"/>
  <c r="F5" i="3"/>
  <c r="C5" i="3" s="1"/>
  <c r="D14" i="2"/>
  <c r="N22" i="3" s="1"/>
  <c r="G10" i="6"/>
  <c r="B29" i="6" s="1"/>
  <c r="O22" i="3" l="1"/>
  <c r="P22" i="3" s="1"/>
  <c r="M4" i="2"/>
  <c r="B10" i="7"/>
  <c r="B15" i="7" s="1"/>
  <c r="B41" i="1"/>
  <c r="J4" i="3" s="1"/>
  <c r="J5" i="3" s="1"/>
  <c r="B15" i="6"/>
  <c r="B14" i="6"/>
  <c r="B20" i="3" l="1"/>
  <c r="D20" i="3" s="1"/>
  <c r="C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1" i="3" s="1"/>
  <c r="H5" i="3"/>
  <c r="I5" i="3" s="1"/>
  <c r="E19" i="3" s="1"/>
  <c r="L5" i="3"/>
  <c r="M5" i="3" l="1"/>
  <c r="E20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19" i="3" s="1"/>
  <c r="O6" i="3"/>
  <c r="P6" i="3" s="1"/>
  <c r="J6" i="4" s="1"/>
  <c r="L6" i="3"/>
  <c r="M6" i="3" s="1"/>
  <c r="F20" i="3" s="1"/>
  <c r="J5" i="4" l="1"/>
  <c r="J4" i="4"/>
  <c r="M6" i="2"/>
  <c r="N6" i="2" s="1"/>
  <c r="J7" i="2" s="1"/>
  <c r="K7" i="2" s="1"/>
  <c r="F21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0" i="3" s="1"/>
  <c r="O7" i="3"/>
  <c r="P7" i="3" s="1"/>
  <c r="G21" i="3" s="1"/>
  <c r="M7" i="2" l="1"/>
  <c r="N7" i="2" s="1"/>
  <c r="J8" i="2" s="1"/>
  <c r="K8" i="2" s="1"/>
  <c r="G19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0" i="3" s="1"/>
  <c r="J9" i="3"/>
  <c r="O8" i="3" l="1"/>
  <c r="P8" i="3" s="1"/>
  <c r="H21" i="3" s="1"/>
  <c r="E8" i="3"/>
  <c r="H8" i="3"/>
  <c r="I8" i="3" s="1"/>
  <c r="L5" i="4"/>
  <c r="L6" i="4" l="1"/>
  <c r="L4" i="4"/>
  <c r="H19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1" i="3" s="1"/>
  <c r="H9" i="3"/>
  <c r="I9" i="3" s="1"/>
  <c r="I19" i="3" s="1"/>
  <c r="L9" i="3"/>
  <c r="M9" i="3" s="1"/>
  <c r="I20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19" i="3"/>
  <c r="N4" i="4"/>
  <c r="J20" i="3"/>
  <c r="N5" i="4"/>
  <c r="J21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1" i="3" l="1"/>
  <c r="O6" i="4"/>
  <c r="E11" i="3"/>
  <c r="H11" i="3"/>
  <c r="I11" i="3" s="1"/>
  <c r="L11" i="3"/>
  <c r="M11" i="3" s="1"/>
  <c r="R5" i="4"/>
  <c r="N14" i="2"/>
  <c r="R4" i="4"/>
  <c r="M11" i="2" l="1"/>
  <c r="N11" i="2" s="1"/>
  <c r="K19" i="3"/>
  <c r="O4" i="4"/>
  <c r="K20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1" i="3" s="1"/>
  <c r="E12" i="3"/>
  <c r="H12" i="3"/>
  <c r="I12" i="3" s="1"/>
  <c r="L12" i="3"/>
  <c r="M12" i="3" s="1"/>
  <c r="J13" i="3"/>
  <c r="P6" i="4" l="1"/>
  <c r="L20" i="3"/>
  <c r="P5" i="4"/>
  <c r="L19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19" i="3"/>
  <c r="Q4" i="4"/>
  <c r="G4" i="4" s="1"/>
  <c r="C4" i="4"/>
  <c r="M20" i="3"/>
  <c r="Q5" i="4"/>
  <c r="G5" i="4" s="1"/>
  <c r="C5" i="4"/>
  <c r="M21" i="3"/>
  <c r="Q6" i="4"/>
  <c r="G6" i="4" s="1"/>
  <c r="C6" i="4"/>
  <c r="E4" i="4" l="1"/>
  <c r="D4" i="4"/>
  <c r="F4" i="4" s="1"/>
  <c r="O21" i="3"/>
  <c r="S21" i="3"/>
  <c r="D5" i="4"/>
  <c r="F5" i="4" s="1"/>
  <c r="E5" i="4"/>
  <c r="O20" i="3"/>
  <c r="S20" i="3"/>
  <c r="E6" i="4"/>
  <c r="D6" i="4"/>
  <c r="F6" i="4" s="1"/>
  <c r="S19" i="3"/>
  <c r="O19" i="3"/>
  <c r="P19" i="3" l="1"/>
  <c r="Q19" i="3" s="1"/>
  <c r="R19" i="3"/>
  <c r="R20" i="3"/>
  <c r="P20" i="3"/>
  <c r="Q20" i="3" s="1"/>
  <c r="R21" i="3"/>
  <c r="P21" i="3"/>
  <c r="Q21" i="3" s="1"/>
</calcChain>
</file>

<file path=xl/sharedStrings.xml><?xml version="1.0" encoding="utf-8"?>
<sst xmlns="http://schemas.openxmlformats.org/spreadsheetml/2006/main" count="441" uniqueCount="378">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</sst>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1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  <font>
      <b/>
      <sz val="1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0" fontId="10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0" fontId="0" fillId="0" borderId="0" xfId="0" applyAlignment="1">
      <alignment wrapText="1"/>
    </xf>
    <xf numFmtId="0" fontId="3" fillId="9" borderId="0" xfId="0" applyFont="1" applyFill="1"/>
    <xf numFmtId="0" fontId="10" fillId="0" borderId="0" xfId="0" applyFont="1"/>
    <xf numFmtId="0" fontId="0" fillId="0" borderId="0" xfId="0"/>
    <xf numFmtId="0" fontId="3" fillId="0" borderId="0" xfId="0" applyFont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checked="Checked" firstButton="1" fmlaLink="$H$4" lockText="1" noThreeD="1"/>
</file>

<file path=xl/ctrlProps/ctrlProp3.xml><?xml version="1.0" encoding="utf-8"?>
<formControlPr xmlns="http://schemas.microsoft.com/office/spreadsheetml/2009/9/main" objectType="Radio" firstButton="1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R$3" lockText="1" noThreeD="1"/>
</file>

<file path=xl/ctrlProps/ctrlProp8.xml><?xml version="1.0" encoding="utf-8"?>
<formControlPr xmlns="http://schemas.microsoft.com/office/spreadsheetml/2009/9/main" objectType="Radio" firstButton="1" fmlaLink="Waterfall!$S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</xdr:row>
          <xdr:rowOff>114300</xdr:rowOff>
        </xdr:from>
        <xdr:to>
          <xdr:col>0</xdr:col>
          <xdr:colOff>533400</xdr:colOff>
          <xdr:row>7</xdr:row>
          <xdr:rowOff>152400</xdr:rowOff>
        </xdr:to>
        <xdr:sp macro="" textlink="">
          <xdr:nvSpPr>
            <xdr:cNvPr id="4098" name="OperatingScenarioGroup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6</xdr:row>
          <xdr:rowOff>19050</xdr:rowOff>
        </xdr:from>
        <xdr:to>
          <xdr:col>0</xdr:col>
          <xdr:colOff>495300</xdr:colOff>
          <xdr:row>6</xdr:row>
          <xdr:rowOff>228600</xdr:rowOff>
        </xdr:to>
        <xdr:sp macro="" textlink="">
          <xdr:nvSpPr>
            <xdr:cNvPr id="4099" name="OperatingScenarioOption_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7</xdr:row>
          <xdr:rowOff>19050</xdr:rowOff>
        </xdr:from>
        <xdr:to>
          <xdr:col>0</xdr:col>
          <xdr:colOff>495300</xdr:colOff>
          <xdr:row>7</xdr:row>
          <xdr:rowOff>228600</xdr:rowOff>
        </xdr:to>
        <xdr:sp macro="" textlink="">
          <xdr:nvSpPr>
            <xdr:cNvPr id="4100" name="OperatingScenarioOption_2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8</xdr:row>
          <xdr:rowOff>19050</xdr:rowOff>
        </xdr:from>
        <xdr:to>
          <xdr:col>0</xdr:col>
          <xdr:colOff>495300</xdr:colOff>
          <xdr:row>8</xdr:row>
          <xdr:rowOff>228600</xdr:rowOff>
        </xdr:to>
        <xdr:sp macro="" textlink="">
          <xdr:nvSpPr>
            <xdr:cNvPr id="4101" name="OperatingScenarioOption_3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</xdr:row>
          <xdr:rowOff>114300</xdr:rowOff>
        </xdr:from>
        <xdr:to>
          <xdr:col>17</xdr:col>
          <xdr:colOff>790575</xdr:colOff>
          <xdr:row>14</xdr:row>
          <xdr:rowOff>152400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</xdr:row>
          <xdr:rowOff>114300</xdr:rowOff>
        </xdr:from>
        <xdr:to>
          <xdr:col>18</xdr:col>
          <xdr:colOff>790575</xdr:colOff>
          <xdr:row>14</xdr:row>
          <xdr:rowOff>152400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4</xdr:row>
          <xdr:rowOff>9525</xdr:rowOff>
        </xdr:from>
        <xdr:to>
          <xdr:col>17</xdr:col>
          <xdr:colOff>409575</xdr:colOff>
          <xdr:row>5</xdr:row>
          <xdr:rowOff>28575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</xdr:row>
          <xdr:rowOff>9525</xdr:rowOff>
        </xdr:from>
        <xdr:to>
          <xdr:col>18</xdr:col>
          <xdr:colOff>409575</xdr:colOff>
          <xdr:row>5</xdr:row>
          <xdr:rowOff>28575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5</xdr:row>
          <xdr:rowOff>9525</xdr:rowOff>
        </xdr:from>
        <xdr:to>
          <xdr:col>17</xdr:col>
          <xdr:colOff>409575</xdr:colOff>
          <xdr:row>6</xdr:row>
          <xdr:rowOff>28575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</xdr:row>
          <xdr:rowOff>9525</xdr:rowOff>
        </xdr:from>
        <xdr:to>
          <xdr:col>18</xdr:col>
          <xdr:colOff>409575</xdr:colOff>
          <xdr:row>6</xdr:row>
          <xdr:rowOff>28575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6</xdr:row>
          <xdr:rowOff>9525</xdr:rowOff>
        </xdr:from>
        <xdr:to>
          <xdr:col>17</xdr:col>
          <xdr:colOff>409575</xdr:colOff>
          <xdr:row>7</xdr:row>
          <xdr:rowOff>28575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</xdr:row>
          <xdr:rowOff>9525</xdr:rowOff>
        </xdr:from>
        <xdr:to>
          <xdr:col>18</xdr:col>
          <xdr:colOff>409575</xdr:colOff>
          <xdr:row>7</xdr:row>
          <xdr:rowOff>28575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7</xdr:row>
          <xdr:rowOff>9525</xdr:rowOff>
        </xdr:from>
        <xdr:to>
          <xdr:col>17</xdr:col>
          <xdr:colOff>409575</xdr:colOff>
          <xdr:row>8</xdr:row>
          <xdr:rowOff>28575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</xdr:row>
          <xdr:rowOff>9525</xdr:rowOff>
        </xdr:from>
        <xdr:to>
          <xdr:col>18</xdr:col>
          <xdr:colOff>409575</xdr:colOff>
          <xdr:row>8</xdr:row>
          <xdr:rowOff>28575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8</xdr:row>
          <xdr:rowOff>9525</xdr:rowOff>
        </xdr:from>
        <xdr:to>
          <xdr:col>17</xdr:col>
          <xdr:colOff>409575</xdr:colOff>
          <xdr:row>9</xdr:row>
          <xdr:rowOff>28575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</xdr:row>
          <xdr:rowOff>9525</xdr:rowOff>
        </xdr:from>
        <xdr:to>
          <xdr:col>18</xdr:col>
          <xdr:colOff>409575</xdr:colOff>
          <xdr:row>9</xdr:row>
          <xdr:rowOff>28575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9</xdr:row>
          <xdr:rowOff>9525</xdr:rowOff>
        </xdr:from>
        <xdr:to>
          <xdr:col>17</xdr:col>
          <xdr:colOff>409575</xdr:colOff>
          <xdr:row>10</xdr:row>
          <xdr:rowOff>28575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</xdr:row>
          <xdr:rowOff>9525</xdr:rowOff>
        </xdr:from>
        <xdr:to>
          <xdr:col>18</xdr:col>
          <xdr:colOff>409575</xdr:colOff>
          <xdr:row>10</xdr:row>
          <xdr:rowOff>28575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10</xdr:row>
          <xdr:rowOff>9525</xdr:rowOff>
        </xdr:from>
        <xdr:to>
          <xdr:col>17</xdr:col>
          <xdr:colOff>409575</xdr:colOff>
          <xdr:row>11</xdr:row>
          <xdr:rowOff>28575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</xdr:row>
          <xdr:rowOff>9525</xdr:rowOff>
        </xdr:from>
        <xdr:to>
          <xdr:col>18</xdr:col>
          <xdr:colOff>409575</xdr:colOff>
          <xdr:row>11</xdr:row>
          <xdr:rowOff>28575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11</xdr:row>
          <xdr:rowOff>9525</xdr:rowOff>
        </xdr:from>
        <xdr:to>
          <xdr:col>17</xdr:col>
          <xdr:colOff>409575</xdr:colOff>
          <xdr:row>12</xdr:row>
          <xdr:rowOff>28575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11</xdr:row>
          <xdr:rowOff>9525</xdr:rowOff>
        </xdr:from>
        <xdr:to>
          <xdr:col>18</xdr:col>
          <xdr:colOff>409575</xdr:colOff>
          <xdr:row>12</xdr:row>
          <xdr:rowOff>28575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12</xdr:row>
          <xdr:rowOff>9525</xdr:rowOff>
        </xdr:from>
        <xdr:to>
          <xdr:col>17</xdr:col>
          <xdr:colOff>409575</xdr:colOff>
          <xdr:row>13</xdr:row>
          <xdr:rowOff>28575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12</xdr:row>
          <xdr:rowOff>9525</xdr:rowOff>
        </xdr:from>
        <xdr:to>
          <xdr:col>18</xdr:col>
          <xdr:colOff>409575</xdr:colOff>
          <xdr:row>13</xdr:row>
          <xdr:rowOff>28575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13</xdr:row>
          <xdr:rowOff>9525</xdr:rowOff>
        </xdr:from>
        <xdr:to>
          <xdr:col>17</xdr:col>
          <xdr:colOff>409575</xdr:colOff>
          <xdr:row>14</xdr:row>
          <xdr:rowOff>28575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13</xdr:row>
          <xdr:rowOff>9525</xdr:rowOff>
        </xdr:from>
        <xdr:to>
          <xdr:col>18</xdr:col>
          <xdr:colOff>409575</xdr:colOff>
          <xdr:row>14</xdr:row>
          <xdr:rowOff>28575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table" Target="../tables/table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7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2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L34"/>
  <sheetViews>
    <sheetView tabSelected="1" workbookViewId="0">
      <selection activeCell="H4" sqref="H4"/>
    </sheetView>
  </sheetViews>
  <sheetFormatPr defaultRowHeight="15" x14ac:dyDescent="0.25"/>
  <cols>
    <col min="1" max="1" width="8.7109375" customWidth="1"/>
    <col min="2" max="2" width="12" bestFit="1" customWidth="1"/>
    <col min="3" max="3" width="34.7109375" customWidth="1"/>
    <col min="4" max="4" width="78.7109375" customWidth="1"/>
    <col min="5" max="5" width="19.85546875" customWidth="1"/>
    <col min="6" max="6" width="14.140625" customWidth="1"/>
    <col min="7" max="8" width="10.7109375" customWidth="1"/>
    <col min="9" max="9" width="15.5703125" customWidth="1"/>
    <col min="10" max="10" width="16" customWidth="1"/>
    <col min="11" max="11" width="17.7109375" customWidth="1"/>
    <col min="12" max="12" width="12.42578125" customWidth="1"/>
  </cols>
  <sheetData>
    <row r="1" spans="1:8" ht="21" x14ac:dyDescent="0.35">
      <c r="A1" s="72" t="s">
        <v>329</v>
      </c>
      <c r="B1" s="73"/>
      <c r="C1" s="73"/>
    </row>
    <row r="2" spans="1:8" x14ac:dyDescent="0.25">
      <c r="B2" s="73" t="s">
        <v>333</v>
      </c>
      <c r="C2" s="73"/>
      <c r="D2" s="73"/>
    </row>
    <row r="3" spans="1:8" ht="15.75" thickBot="1" x14ac:dyDescent="0.3">
      <c r="A3" s="5" t="s">
        <v>330</v>
      </c>
      <c r="G3" s="71" t="s">
        <v>372</v>
      </c>
      <c r="H3" s="71"/>
    </row>
    <row r="4" spans="1:8" ht="15.75" thickBot="1" x14ac:dyDescent="0.3">
      <c r="A4" t="s">
        <v>331</v>
      </c>
      <c r="D4" s="67" t="str">
        <f>CHOOSE($H$4,$C$7,$C$8,$C$9)</f>
        <v>Base Co-Living / Medium-Term</v>
      </c>
      <c r="E4" s="68"/>
      <c r="F4" s="69"/>
      <c r="G4" s="71"/>
      <c r="H4" s="71">
        <v>1</v>
      </c>
    </row>
    <row r="6" spans="1:8" x14ac:dyDescent="0.25">
      <c r="A6" s="5" t="s">
        <v>373</v>
      </c>
      <c r="B6" s="5"/>
      <c r="C6" s="5" t="s">
        <v>374</v>
      </c>
      <c r="D6" s="5" t="s">
        <v>375</v>
      </c>
    </row>
    <row r="7" spans="1:8" x14ac:dyDescent="0.25">
      <c r="C7" s="5" t="s">
        <v>332</v>
      </c>
      <c r="D7" s="70" t="s">
        <v>336</v>
      </c>
    </row>
    <row r="8" spans="1:8" x14ac:dyDescent="0.25">
      <c r="C8" s="5" t="s">
        <v>334</v>
      </c>
      <c r="D8" s="70" t="s">
        <v>376</v>
      </c>
    </row>
    <row r="9" spans="1:8" x14ac:dyDescent="0.25">
      <c r="C9" s="5" t="s">
        <v>335</v>
      </c>
      <c r="D9" s="70" t="s">
        <v>377</v>
      </c>
    </row>
    <row r="12" spans="1:8" x14ac:dyDescent="0.25">
      <c r="A12" s="74" t="s">
        <v>337</v>
      </c>
      <c r="B12" s="74"/>
      <c r="C12" s="74"/>
    </row>
    <row r="13" spans="1:8" x14ac:dyDescent="0.25">
      <c r="A13" s="73" t="s">
        <v>338</v>
      </c>
      <c r="B13" s="73"/>
      <c r="C13" s="73"/>
      <c r="D13" s="12" t="s">
        <v>339</v>
      </c>
      <c r="E13" s="12" t="s">
        <v>340</v>
      </c>
      <c r="F13" s="12" t="s">
        <v>341</v>
      </c>
      <c r="G13" s="12" t="s">
        <v>292</v>
      </c>
    </row>
    <row r="14" spans="1:8" x14ac:dyDescent="0.25">
      <c r="A14" s="73" t="s">
        <v>342</v>
      </c>
      <c r="B14" s="73"/>
      <c r="C14" s="73"/>
      <c r="D14" s="2">
        <v>2500</v>
      </c>
      <c r="E14" s="2">
        <v>3250</v>
      </c>
      <c r="F14" s="2">
        <v>4000</v>
      </c>
      <c r="G14" t="s">
        <v>343</v>
      </c>
    </row>
    <row r="15" spans="1:8" x14ac:dyDescent="0.25">
      <c r="A15" s="73" t="s">
        <v>344</v>
      </c>
      <c r="B15" s="73"/>
      <c r="C15" s="73"/>
      <c r="D15" s="63">
        <v>0.4</v>
      </c>
      <c r="E15" s="63">
        <v>0.5</v>
      </c>
      <c r="F15" s="63">
        <v>0.6</v>
      </c>
      <c r="G15" t="s">
        <v>345</v>
      </c>
    </row>
    <row r="16" spans="1:8" x14ac:dyDescent="0.25">
      <c r="A16" s="73" t="s">
        <v>346</v>
      </c>
      <c r="B16" s="73"/>
      <c r="C16" s="73"/>
      <c r="D16" s="2">
        <v>4500</v>
      </c>
      <c r="E16" s="2">
        <v>6000</v>
      </c>
      <c r="F16" s="2">
        <v>7500</v>
      </c>
      <c r="G16" t="s">
        <v>347</v>
      </c>
    </row>
    <row r="17" spans="1:12" x14ac:dyDescent="0.25">
      <c r="A17" s="73" t="s">
        <v>348</v>
      </c>
      <c r="B17" s="73"/>
      <c r="C17" s="73"/>
      <c r="D17" s="63">
        <v>0.35</v>
      </c>
      <c r="E17" s="63">
        <v>0.45</v>
      </c>
      <c r="F17" s="63">
        <v>0.55000000000000004</v>
      </c>
      <c r="G17" t="s">
        <v>345</v>
      </c>
    </row>
    <row r="18" spans="1:12" x14ac:dyDescent="0.25">
      <c r="A18" s="73" t="s">
        <v>349</v>
      </c>
      <c r="B18" s="73"/>
      <c r="C18" s="73"/>
      <c r="D18" s="63">
        <v>0.08</v>
      </c>
      <c r="E18" s="63">
        <v>0.09</v>
      </c>
      <c r="F18" s="63">
        <v>0.1</v>
      </c>
      <c r="G18" t="s">
        <v>350</v>
      </c>
    </row>
    <row r="19" spans="1:12" x14ac:dyDescent="0.25">
      <c r="A19" s="73" t="s">
        <v>351</v>
      </c>
      <c r="B19" s="73"/>
      <c r="C19" s="73"/>
      <c r="D19" s="2">
        <v>250</v>
      </c>
      <c r="E19" s="2">
        <v>300</v>
      </c>
      <c r="F19" s="2">
        <v>350</v>
      </c>
      <c r="G19" t="s">
        <v>352</v>
      </c>
    </row>
    <row r="23" spans="1:12" x14ac:dyDescent="0.25">
      <c r="A23" s="74" t="s">
        <v>353</v>
      </c>
      <c r="B23" s="74"/>
      <c r="C23" s="74"/>
    </row>
    <row r="24" spans="1:12" s="66" customFormat="1" ht="60" x14ac:dyDescent="0.25">
      <c r="A24" s="66" t="s">
        <v>55</v>
      </c>
      <c r="B24" s="66" t="s">
        <v>354</v>
      </c>
      <c r="C24" s="66" t="s">
        <v>355</v>
      </c>
      <c r="D24" s="66" t="s">
        <v>356</v>
      </c>
      <c r="E24" s="66" t="s">
        <v>357</v>
      </c>
      <c r="F24" s="66" t="s">
        <v>358</v>
      </c>
      <c r="G24" s="66" t="s">
        <v>359</v>
      </c>
      <c r="H24" s="66" t="s">
        <v>360</v>
      </c>
      <c r="I24" s="66" t="s">
        <v>361</v>
      </c>
      <c r="J24" s="66" t="s">
        <v>362</v>
      </c>
      <c r="K24" s="66" t="s">
        <v>363</v>
      </c>
      <c r="L24" s="66" t="s">
        <v>364</v>
      </c>
    </row>
    <row r="25" spans="1:12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2">
        <f>STRScenarioTable[[#This Row],[Base Monthly Gross Rent]]*12</f>
        <v>105600</v>
      </c>
      <c r="E25" s="2">
        <f>IF(STRScenarioTable[[#This Row],[Year]]&gt;=3,$F$14,IF(STRScenarioTable[[#This Row],[Year]]&gt;=2,$E$14,$D$14))</f>
        <v>2500</v>
      </c>
      <c r="F25" s="63">
        <f>IF(STRScenarioTable[[#This Row],[Year]]&gt;=3,$F$15,IF(STRScenarioTable[[#This Row],[Year]]&gt;=2,$E$15,$D$15))</f>
        <v>0.4</v>
      </c>
      <c r="G25" s="2">
        <f>STRScenarioTable[[#This Row],[Base Annual Gross Rent]]/2</f>
        <v>52800</v>
      </c>
      <c r="H25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2">
        <f>IF(STRScenarioTable[[#This Row],[Year]]&gt;=3,$F$16,IF(STRScenarioTable[[#This Row],[Year]]&gt;=2,$E$16,$D$16))</f>
        <v>4500</v>
      </c>
      <c r="J25" s="63">
        <f>IF(STRScenarioTable[[#This Row],[Year]]&gt;=3,$F$17,IF(STRScenarioTable[[#This Row],[Year]]&gt;=2,$E$17,$D$17))</f>
        <v>0.35</v>
      </c>
      <c r="K25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105600</v>
      </c>
    </row>
    <row r="26" spans="1:12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2">
        <f>STRScenarioTable[[#This Row],[Base Monthly Gross Rent]]*12</f>
        <v>129600</v>
      </c>
      <c r="E26" s="2">
        <f>IF(STRScenarioTable[[#This Row],[Year]]&gt;=3,$F$14,IF(STRScenarioTable[[#This Row],[Year]]&gt;=2,$E$14,$D$14))</f>
        <v>3250</v>
      </c>
      <c r="F26" s="63">
        <f>IF(STRScenarioTable[[#This Row],[Year]]&gt;=3,$F$15,IF(STRScenarioTable[[#This Row],[Year]]&gt;=2,$E$15,$D$15))</f>
        <v>0.5</v>
      </c>
      <c r="G26" s="2">
        <f>STRScenarioTable[[#This Row],[Base Annual Gross Rent]]/2</f>
        <v>64800</v>
      </c>
      <c r="H26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2">
        <f>IF(STRScenarioTable[[#This Row],[Year]]&gt;=3,$F$16,IF(STRScenarioTable[[#This Row],[Year]]&gt;=2,$E$16,$D$16))</f>
        <v>6000</v>
      </c>
      <c r="J26" s="63">
        <f>IF(STRScenarioTable[[#This Row],[Year]]&gt;=3,$F$17,IF(STRScenarioTable[[#This Row],[Year]]&gt;=2,$E$17,$D$17))</f>
        <v>0.45</v>
      </c>
      <c r="K26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129600</v>
      </c>
    </row>
    <row r="27" spans="1:12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2">
        <f>STRScenarioTable[[#This Row],[Base Monthly Gross Rent]]*12</f>
        <v>144000</v>
      </c>
      <c r="E27" s="2">
        <f>IF(STRScenarioTable[[#This Row],[Year]]&gt;=3,$F$14,IF(STRScenarioTable[[#This Row],[Year]]&gt;=2,$E$14,$D$14))</f>
        <v>4000</v>
      </c>
      <c r="F27" s="63">
        <f>IF(STRScenarioTable[[#This Row],[Year]]&gt;=3,$F$15,IF(STRScenarioTable[[#This Row],[Year]]&gt;=2,$E$15,$D$15))</f>
        <v>0.6</v>
      </c>
      <c r="G27" s="2">
        <f>STRScenarioTable[[#This Row],[Base Annual Gross Rent]]/2</f>
        <v>72000</v>
      </c>
      <c r="H27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2">
        <f>IF(STRScenarioTable[[#This Row],[Year]]&gt;=3,$F$16,IF(STRScenarioTable[[#This Row],[Year]]&gt;=2,$E$16,$D$16))</f>
        <v>7500</v>
      </c>
      <c r="J27" s="63">
        <f>IF(STRScenarioTable[[#This Row],[Year]]&gt;=3,$F$17,IF(STRScenarioTable[[#This Row],[Year]]&gt;=2,$E$17,$D$17))</f>
        <v>0.55000000000000004</v>
      </c>
      <c r="K27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  <row r="28" spans="1:12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2">
        <f>STRScenarioTable[[#This Row],[Base Monthly Gross Rent]]*12</f>
        <v>144000</v>
      </c>
      <c r="E28" s="2">
        <f>IF(STRScenarioTable[[#This Row],[Year]]&gt;=3,$F$14,IF(STRScenarioTable[[#This Row],[Year]]&gt;=2,$E$14,$D$14))</f>
        <v>4000</v>
      </c>
      <c r="F28" s="63">
        <f>IF(STRScenarioTable[[#This Row],[Year]]&gt;=3,$F$15,IF(STRScenarioTable[[#This Row],[Year]]&gt;=2,$E$15,$D$15))</f>
        <v>0.6</v>
      </c>
      <c r="G28" s="2">
        <f>STRScenarioTable[[#This Row],[Base Annual Gross Rent]]/2</f>
        <v>72000</v>
      </c>
      <c r="H28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2">
        <f>IF(STRScenarioTable[[#This Row],[Year]]&gt;=3,$F$16,IF(STRScenarioTable[[#This Row],[Year]]&gt;=2,$E$16,$D$16))</f>
        <v>7500</v>
      </c>
      <c r="J28" s="63">
        <f>IF(STRScenarioTable[[#This Row],[Year]]&gt;=3,$F$17,IF(STRScenarioTable[[#This Row],[Year]]&gt;=2,$E$17,$D$17))</f>
        <v>0.55000000000000004</v>
      </c>
      <c r="K28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  <row r="29" spans="1:12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2">
        <f>STRScenarioTable[[#This Row],[Base Monthly Gross Rent]]*12</f>
        <v>144000</v>
      </c>
      <c r="E29" s="2">
        <f>IF(STRScenarioTable[[#This Row],[Year]]&gt;=3,$F$14,IF(STRScenarioTable[[#This Row],[Year]]&gt;=2,$E$14,$D$14))</f>
        <v>4000</v>
      </c>
      <c r="F29" s="63">
        <f>IF(STRScenarioTable[[#This Row],[Year]]&gt;=3,$F$15,IF(STRScenarioTable[[#This Row],[Year]]&gt;=2,$E$15,$D$15))</f>
        <v>0.6</v>
      </c>
      <c r="G29" s="2">
        <f>STRScenarioTable[[#This Row],[Base Annual Gross Rent]]/2</f>
        <v>72000</v>
      </c>
      <c r="H29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2">
        <f>IF(STRScenarioTable[[#This Row],[Year]]&gt;=3,$F$16,IF(STRScenarioTable[[#This Row],[Year]]&gt;=2,$E$16,$D$16))</f>
        <v>7500</v>
      </c>
      <c r="J29" s="63">
        <f>IF(STRScenarioTable[[#This Row],[Year]]&gt;=3,$F$17,IF(STRScenarioTable[[#This Row],[Year]]&gt;=2,$E$17,$D$17))</f>
        <v>0.55000000000000004</v>
      </c>
      <c r="K29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  <row r="30" spans="1:12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2">
        <f>STRScenarioTable[[#This Row],[Base Monthly Gross Rent]]*12</f>
        <v>144000</v>
      </c>
      <c r="E30" s="2">
        <f>IF(STRScenarioTable[[#This Row],[Year]]&gt;=3,$F$14,IF(STRScenarioTable[[#This Row],[Year]]&gt;=2,$E$14,$D$14))</f>
        <v>4000</v>
      </c>
      <c r="F30" s="63">
        <f>IF(STRScenarioTable[[#This Row],[Year]]&gt;=3,$F$15,IF(STRScenarioTable[[#This Row],[Year]]&gt;=2,$E$15,$D$15))</f>
        <v>0.6</v>
      </c>
      <c r="G30" s="2">
        <f>STRScenarioTable[[#This Row],[Base Annual Gross Rent]]/2</f>
        <v>72000</v>
      </c>
      <c r="H30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2">
        <f>IF(STRScenarioTable[[#This Row],[Year]]&gt;=3,$F$16,IF(STRScenarioTable[[#This Row],[Year]]&gt;=2,$E$16,$D$16))</f>
        <v>7500</v>
      </c>
      <c r="J30" s="63">
        <f>IF(STRScenarioTable[[#This Row],[Year]]&gt;=3,$F$17,IF(STRScenarioTable[[#This Row],[Year]]&gt;=2,$E$17,$D$17))</f>
        <v>0.55000000000000004</v>
      </c>
      <c r="K30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  <row r="31" spans="1:12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2">
        <f>STRScenarioTable[[#This Row],[Base Monthly Gross Rent]]*12</f>
        <v>144000</v>
      </c>
      <c r="E31" s="2">
        <f>IF(STRScenarioTable[[#This Row],[Year]]&gt;=3,$F$14,IF(STRScenarioTable[[#This Row],[Year]]&gt;=2,$E$14,$D$14))</f>
        <v>4000</v>
      </c>
      <c r="F31" s="63">
        <f>IF(STRScenarioTable[[#This Row],[Year]]&gt;=3,$F$15,IF(STRScenarioTable[[#This Row],[Year]]&gt;=2,$E$15,$D$15))</f>
        <v>0.6</v>
      </c>
      <c r="G31" s="2">
        <f>STRScenarioTable[[#This Row],[Base Annual Gross Rent]]/2</f>
        <v>72000</v>
      </c>
      <c r="H31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2">
        <f>IF(STRScenarioTable[[#This Row],[Year]]&gt;=3,$F$16,IF(STRScenarioTable[[#This Row],[Year]]&gt;=2,$E$16,$D$16))</f>
        <v>7500</v>
      </c>
      <c r="J31" s="63">
        <f>IF(STRScenarioTable[[#This Row],[Year]]&gt;=3,$F$17,IF(STRScenarioTable[[#This Row],[Year]]&gt;=2,$E$17,$D$17))</f>
        <v>0.55000000000000004</v>
      </c>
      <c r="K31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  <row r="32" spans="1:12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2">
        <f>STRScenarioTable[[#This Row],[Base Monthly Gross Rent]]*12</f>
        <v>144000</v>
      </c>
      <c r="E32" s="2">
        <f>IF(STRScenarioTable[[#This Row],[Year]]&gt;=3,$F$14,IF(STRScenarioTable[[#This Row],[Year]]&gt;=2,$E$14,$D$14))</f>
        <v>4000</v>
      </c>
      <c r="F32" s="63">
        <f>IF(STRScenarioTable[[#This Row],[Year]]&gt;=3,$F$15,IF(STRScenarioTable[[#This Row],[Year]]&gt;=2,$E$15,$D$15))</f>
        <v>0.6</v>
      </c>
      <c r="G32" s="2">
        <f>STRScenarioTable[[#This Row],[Base Annual Gross Rent]]/2</f>
        <v>72000</v>
      </c>
      <c r="H32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2">
        <f>IF(STRScenarioTable[[#This Row],[Year]]&gt;=3,$F$16,IF(STRScenarioTable[[#This Row],[Year]]&gt;=2,$E$16,$D$16))</f>
        <v>7500</v>
      </c>
      <c r="J32" s="63">
        <f>IF(STRScenarioTable[[#This Row],[Year]]&gt;=3,$F$17,IF(STRScenarioTable[[#This Row],[Year]]&gt;=2,$E$17,$D$17))</f>
        <v>0.55000000000000004</v>
      </c>
      <c r="K32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2">
        <f>STRScenarioTable[[#This Row],[Base Monthly Gross Rent]]*12</f>
        <v>144000</v>
      </c>
      <c r="E33" s="2">
        <f>IF(STRScenarioTable[[#This Row],[Year]]&gt;=3,$F$14,IF(STRScenarioTable[[#This Row],[Year]]&gt;=2,$E$14,$D$14))</f>
        <v>4000</v>
      </c>
      <c r="F33" s="63">
        <f>IF(STRScenarioTable[[#This Row],[Year]]&gt;=3,$F$15,IF(STRScenarioTable[[#This Row],[Year]]&gt;=2,$E$15,$D$15))</f>
        <v>0.6</v>
      </c>
      <c r="G33" s="2">
        <f>STRScenarioTable[[#This Row],[Base Annual Gross Rent]]/2</f>
        <v>72000</v>
      </c>
      <c r="H33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2">
        <f>IF(STRScenarioTable[[#This Row],[Year]]&gt;=3,$F$16,IF(STRScenarioTable[[#This Row],[Year]]&gt;=2,$E$16,$D$16))</f>
        <v>7500</v>
      </c>
      <c r="J33" s="63">
        <f>IF(STRScenarioTable[[#This Row],[Year]]&gt;=3,$F$17,IF(STRScenarioTable[[#This Row],[Year]]&gt;=2,$E$17,$D$17))</f>
        <v>0.55000000000000004</v>
      </c>
      <c r="K33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2">
        <f>STRScenarioTable[[#This Row],[Base Monthly Gross Rent]]*12</f>
        <v>144000</v>
      </c>
      <c r="E34" s="2">
        <f>IF(STRScenarioTable[[#This Row],[Year]]&gt;=3,$F$14,IF(STRScenarioTable[[#This Row],[Year]]&gt;=2,$E$14,$D$14))</f>
        <v>4000</v>
      </c>
      <c r="F34" s="63">
        <f>IF(STRScenarioTable[[#This Row],[Year]]&gt;=3,$F$15,IF(STRScenarioTable[[#This Row],[Year]]&gt;=2,$E$15,$D$15))</f>
        <v>0.6</v>
      </c>
      <c r="G34" s="2">
        <f>STRScenarioTable[[#This Row],[Base Annual Gross Rent]]/2</f>
        <v>72000</v>
      </c>
      <c r="H34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2">
        <f>IF(STRScenarioTable[[#This Row],[Year]]&gt;=3,$F$16,IF(STRScenarioTable[[#This Row],[Year]]&gt;=2,$E$16,$D$16))</f>
        <v>7500</v>
      </c>
      <c r="J34" s="63">
        <f>IF(STRScenarioTable[[#This Row],[Year]]&gt;=3,$F$17,IF(STRScenarioTable[[#This Row],[Year]]&gt;=2,$E$17,$D$17))</f>
        <v>0.55000000000000004</v>
      </c>
      <c r="K34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</sheetData>
  <mergeCells count="11">
    <mergeCell ref="A1:C1"/>
    <mergeCell ref="B2:D2"/>
    <mergeCell ref="A12:C12"/>
    <mergeCell ref="A23:C23"/>
    <mergeCell ref="A19:C19"/>
    <mergeCell ref="A18:C18"/>
    <mergeCell ref="A13:C13"/>
    <mergeCell ref="A14:C14"/>
    <mergeCell ref="A15:C15"/>
    <mergeCell ref="A16:C16"/>
    <mergeCell ref="A17:C17"/>
  </mergeCells>
  <dataValidations count="1">
    <dataValidation type="list" allowBlank="1" showInputMessage="1" showErrorMessage="1" sqref="D4" xr:uid="{62811388-3308-4C55-A139-2B75AEB3359B}">
      <formula1>$A$7:$A$9</formula1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4" name="OperatingScenarioGroup">
              <controlPr defaultSize="0" autoPict="0">
                <anchor moveWithCells="1">
                  <from>
                    <xdr:col>0</xdr:col>
                    <xdr:colOff>76200</xdr:colOff>
                    <xdr:row>5</xdr:row>
                    <xdr:rowOff>114300</xdr:rowOff>
                  </from>
                  <to>
                    <xdr:col>0</xdr:col>
                    <xdr:colOff>533400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OperatingScenarioOption_1">
              <controlPr defaultSize="0" autoFill="0" autoLine="0" autoPict="0">
                <anchor moveWithCells="1">
                  <from>
                    <xdr:col>0</xdr:col>
                    <xdr:colOff>200025</xdr:colOff>
                    <xdr:row>6</xdr:row>
                    <xdr:rowOff>19050</xdr:rowOff>
                  </from>
                  <to>
                    <xdr:col>0</xdr:col>
                    <xdr:colOff>495300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OperatingScenarioOption_2">
              <controlPr defaultSize="0" autoFill="0" autoLine="0" autoPict="0">
                <anchor moveWithCells="1">
                  <from>
                    <xdr:col>0</xdr:col>
                    <xdr:colOff>200025</xdr:colOff>
                    <xdr:row>7</xdr:row>
                    <xdr:rowOff>19050</xdr:rowOff>
                  </from>
                  <to>
                    <xdr:col>0</xdr:col>
                    <xdr:colOff>495300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OperatingScenarioOption_3">
              <controlPr defaultSize="0" autoFill="0" autoLine="0" autoPict="0">
                <anchor moveWithCells="1">
                  <from>
                    <xdr:col>0</xdr:col>
                    <xdr:colOff>200025</xdr:colOff>
                    <xdr:row>8</xdr:row>
                    <xdr:rowOff>19050</xdr:rowOff>
                  </from>
                  <to>
                    <xdr:col>0</xdr:col>
                    <xdr:colOff>495300</xdr:colOff>
                    <xdr:row>8</xdr:row>
                    <xdr:rowOff>228600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12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4" t="s">
        <v>365</v>
      </c>
      <c r="M3" s="65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5" t="s">
        <v>331</v>
      </c>
      <c r="M4" s="65" t="str">
        <f>SelectedOperatingScenario</f>
        <v>Base Co-Living / Medium-Term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5" t="s">
        <v>366</v>
      </c>
      <c r="M5" s="65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77" t="s">
        <v>281</v>
      </c>
      <c r="E7" s="77"/>
      <c r="F7" s="77"/>
      <c r="G7" s="77"/>
      <c r="H7" s="77"/>
      <c r="I7" s="77"/>
      <c r="J7" s="77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75" t="s">
        <v>53</v>
      </c>
      <c r="C48" s="76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78" t="s">
        <v>54</v>
      </c>
      <c r="B1" s="73"/>
      <c r="C1" s="7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Row],[Occupancy Effective Gross Income]]*OperatingExpenseRatio)</f>
        <v>24769.792114695338</v>
      </c>
      <c r="F5" s="13">
        <f>IF(AnnualModelTable[[#This Row],[Year]]&gt;SaleExitYear,0,AnnualModelTable[[#This Row],[Occupancy Effective Gross Income]]-AnnualModelTable[[#This Row],[Operating Expenses]])</f>
        <v>28030.207885304662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14218.207885304662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9000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5218.2078853046623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5218.2078853046623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Row],[Occupancy Effective Gross Income]]*OperatingExpenseRatio)</f>
        <v>56542.679999999993</v>
      </c>
      <c r="F6" s="13">
        <f>IF(AnnualModelTable[[#This Row],[Year]]&gt;SaleExitYear,0,AnnualModelTable[[#This Row],[Occupancy Effective Gross Income]]-AnnualModelTable[[#This Row],[Operating Expenses]])</f>
        <v>63985.320000000007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50173.320000000007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50173.320000000007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50173.320000000007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Row],[Occupancy Effective Gross Income]]*OperatingExpenseRatio)</f>
        <v>62825.2</v>
      </c>
      <c r="F7" s="13">
        <f>IF(AnnualModelTable[[#This Row],[Year]]&gt;SaleExitYear,0,AnnualModelTable[[#This Row],[Occupancy Effective Gross Income]]-AnnualModelTable[[#This Row],[Operating Expenses]])</f>
        <v>71094.8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15552.977350248344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553829.41735024843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553829.41735024843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1046109.2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Row],[Occupancy Effective Gross Income]]*OperatingExpenseRatio)</f>
        <v>62825.2</v>
      </c>
      <c r="F8" s="13">
        <f>IF(AnnualModelTable[[#This Row],[Year]]&gt;SaleExitYear,0,AnnualModelTable[[#This Row],[Occupancy Effective Gross Income]]-AnnualModelTable[[#This Row],[Operating Expenses]])</f>
        <v>71094.8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15552.977350248344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15552.977350248344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15552.977350248344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1046109.2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144000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9" s="13">
        <f>IF(AnnualModelTable[[#This Row],[Year]]&gt;SaleExitYear,0,AnnualModelTable[[#This Row],[Occupancy Effective Gross Income]]*OperatingExpenseRatio)</f>
        <v>62825.2</v>
      </c>
      <c r="F9" s="13">
        <f>IF(AnnualModelTable[[#This Row],[Year]]&gt;SaleExitYear,0,AnnualModelTable[[#This Row],[Occupancy Effective Gross Income]]-AnnualModelTable[[#This Row],[Operating Expenses]])</f>
        <v>71094.8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15552.977350248344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1025187.0159999999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1040739.9933502483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1040739.9933502483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1046109.2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workbookViewId="0">
      <selection activeCell="V10" sqref="V10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16384" width="9.140625" style="6"/>
  </cols>
  <sheetData>
    <row r="1" spans="1:19" ht="18.75" x14ac:dyDescent="0.3">
      <c r="A1" s="78" t="s">
        <v>68</v>
      </c>
      <c r="B1" s="73"/>
      <c r="C1" s="73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82" t="s">
        <v>267</v>
      </c>
      <c r="D2" s="80"/>
      <c r="E2" s="80"/>
      <c r="F2" s="80"/>
      <c r="G2" s="80"/>
      <c r="H2" s="80"/>
      <c r="I2" s="80"/>
      <c r="J2" s="79" t="s">
        <v>89</v>
      </c>
      <c r="K2" s="80"/>
      <c r="L2" s="80"/>
      <c r="M2" s="80"/>
      <c r="N2" s="81" t="s">
        <v>90</v>
      </c>
      <c r="O2" s="80"/>
      <c r="P2" s="80"/>
      <c r="R2" s="12" t="s">
        <v>317</v>
      </c>
      <c r="S2" s="12" t="s">
        <v>318</v>
      </c>
    </row>
    <row r="3" spans="1:19" s="23" customFormat="1" ht="45.75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61">
        <v>3</v>
      </c>
      <c r="S3" s="61">
        <v>5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5218.2078853046623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5218.2078853046623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5218.2078853046623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50173.320000000007</v>
      </c>
      <c r="C6" s="13">
        <f>IF(WaterfallTable[[#This Row],[Year]]&gt;SaleExitYear,0,WaterfallTable[[#This Row],[Capital Balance A]]*ClassAPreferredReturn)</f>
        <v>23582.54336917563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71582.543369175633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294781.79211469536</v>
      </c>
      <c r="G6" s="13">
        <f>IF(WaterfallTable[[#This Row],[Year]]&gt;SaleExitYear,0,IF(WaterfallTable[[#This Row],[Year]]=0,0,MIN(WaterfallTable[[#This Row],[Cash Available]],WaterfallTable[[#This Row],[Capital Balance A]])))</f>
        <v>50173.320000000007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50173.320000000007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553829.41735024843</v>
      </c>
      <c r="C7" s="13">
        <f>IF(WaterfallTable[[#This Row],[Year]]&gt;SaleExitYear,0,WaterfallTable[[#This Row],[Capital Balance A]]*ClassAPreferredReturn)</f>
        <v>19568.677769175629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91151.221138351262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244608.47211469535</v>
      </c>
      <c r="G7" s="13">
        <f>IF(WaterfallTable[[#This Row],[Year]]&gt;SaleExitYear,0,IF(WaterfallTable[[#This Row],[Year]]=0,0,MIN(WaterfallTable[[#This Row],[Cash Available]],WaterfallTable[[#This Row],[Capital Balance A]])))</f>
        <v>244608.47211469535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244608.47211469535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309220.94523555308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309220.94523555308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15552.977350248344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91151.221138351262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238279.05476444692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15552.977350248344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15552.977350248344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1040739.9933502483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91151.221138351262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128648.26456596435</v>
      </c>
      <c r="I9" s="13">
        <f>IF(WaterfallTable[[#This Row],[Year]]&gt;SaleExitYear,0,WaterfallTable[[#This Row],[Pref Paid]]+WaterfallTable[[#This Row],[Capital Returned A]]+WaterfallTable[[#This Row],[Residual A]])</f>
        <v>219799.48570431559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222726.07741419857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222726.07741419857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234783.08283288492</v>
      </c>
      <c r="M9" s="13">
        <f>IF(WaterfallTable[[#This Row],[Year]]&gt;SaleExitYear,0,WaterfallTable[[#This Row],[Capital Returned B]]+WaterfallTable[[#This Row],[ Residual   B]])</f>
        <v>457509.16024708352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363431.34739884926</v>
      </c>
      <c r="P9" s="13">
        <f>IF(WaterfallTable[[#This Row],[Year]]&gt;SaleExitYear,0,WaterfallTable[[#This Row],[Property Payment]]+WaterfallTable[[#This Row],[Residual]])</f>
        <v>363431.34739884926</v>
      </c>
      <c r="R9" s="14"/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70</v>
      </c>
      <c r="B18" s="58" t="s">
        <v>305</v>
      </c>
      <c r="C18" s="58" t="s">
        <v>306</v>
      </c>
      <c r="D18" s="58" t="s">
        <v>307</v>
      </c>
      <c r="E18" s="58" t="s">
        <v>78</v>
      </c>
      <c r="F18" s="58" t="s">
        <v>79</v>
      </c>
      <c r="G18" s="58" t="s">
        <v>80</v>
      </c>
      <c r="H18" s="58" t="s">
        <v>81</v>
      </c>
      <c r="I18" s="58" t="s">
        <v>82</v>
      </c>
      <c r="J18" s="58" t="s">
        <v>83</v>
      </c>
      <c r="K18" s="58" t="s">
        <v>84</v>
      </c>
      <c r="L18" s="58" t="s">
        <v>85</v>
      </c>
      <c r="M18" s="58" t="s">
        <v>86</v>
      </c>
      <c r="N18" s="58" t="s">
        <v>87</v>
      </c>
      <c r="O18" s="58" t="s">
        <v>298</v>
      </c>
      <c r="P18" s="58" t="s">
        <v>299</v>
      </c>
      <c r="Q18" s="58" t="s">
        <v>74</v>
      </c>
      <c r="R18" s="59" t="s">
        <v>75</v>
      </c>
      <c r="S18" s="58" t="s">
        <v>76</v>
      </c>
    </row>
    <row r="19" spans="1:19" x14ac:dyDescent="0.25">
      <c r="A19" s="49" t="s">
        <v>88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 A],MATCH(1,WaterfallTable[Year],0)))</f>
        <v>5218.2078853046623</v>
      </c>
      <c r="F19" s="41">
        <f>IF(2&gt;SaleExitYear,0,INDEX(WaterfallTable[Total Dist A],MATCH(2,WaterfallTable[Year],0)))</f>
        <v>50173.320000000007</v>
      </c>
      <c r="G19" s="41">
        <f>IF(3&gt;SaleExitYear,0,INDEX(WaterfallTable[Total Dist A],MATCH(3,WaterfallTable[Year],0)))</f>
        <v>244608.47211469535</v>
      </c>
      <c r="H19" s="41">
        <f>IF(4&gt;SaleExitYear,0,INDEX(WaterfallTable[Total Dist A],MATCH(4,WaterfallTable[Year],0)))</f>
        <v>0</v>
      </c>
      <c r="I19" s="41">
        <f>IF(5&gt;SaleExitYear,0,INDEX(WaterfallTable[Total Dist A],MATCH(5,WaterfallTable[Year],0)))</f>
        <v>219799.48570431559</v>
      </c>
      <c r="J19" s="41">
        <f>IF(6&gt;SaleExitYear,0,INDEX(WaterfallTable[Total Dist A],MATCH(6,WaterfallTable[Year],0)))</f>
        <v>0</v>
      </c>
      <c r="K19" s="41">
        <f>IF(7&gt;SaleExitYear,0,INDEX(WaterfallTable[Total Dist A],MATCH(7,WaterfallTable[Year],0)))</f>
        <v>0</v>
      </c>
      <c r="L19" s="41">
        <f>IF(8&gt;SaleExitYear,0,INDEX(WaterfallTable[Total Dist A],MATCH(8,WaterfallTable[Year],0)))</f>
        <v>0</v>
      </c>
      <c r="M19" s="41">
        <f>IF(9&gt;SaleExitYear,0,INDEX(WaterfallTable[Total Dist A],MATCH(9,WaterfallTable[Year],0)))</f>
        <v>0</v>
      </c>
      <c r="N19" s="41">
        <f>IF(10&gt;SaleExitYear,0,INDEX(WaterfallTable[Total Dist A],MATCH(10,WaterfallTable[Year],0)))</f>
        <v>0</v>
      </c>
      <c r="O19" s="41">
        <f>SUM(ReturnsTable[[#This Row],[Initial Capitalization]:[Year 10]])</f>
        <v>219799.48570431559</v>
      </c>
      <c r="P19" s="41">
        <f>ReturnsTable[[#This Row],[Total Profit]]+ReturnsTable[[#This Row],[Capital Investment]]</f>
        <v>519799.48570431559</v>
      </c>
      <c r="Q19" s="42">
        <f>IFERROR(ReturnsTable[[#This Row],[Total Dist]]/ReturnsTable[[#This Row],[Capital Investment]],0)</f>
        <v>1.7326649523477187</v>
      </c>
      <c r="R19" s="53">
        <f>IFERROR(ReturnsTable[[#This Row],[Total Profit]]/ReturnsTable[[#This Row],[Capital Investment]],0)</f>
        <v>0.73266495234771867</v>
      </c>
      <c r="S19" s="60">
        <f>IFERROR(IRR(ReturnsTable[[#This Row],[Initial Capitalization]:[Year 10]]),0)</f>
        <v>0.1634264838474333</v>
      </c>
    </row>
    <row r="20" spans="1:19" x14ac:dyDescent="0.25">
      <c r="A20" s="50" t="s">
        <v>89</v>
      </c>
      <c r="B20" s="43">
        <f>ClassBCapital</f>
        <v>547500</v>
      </c>
      <c r="C20" s="43">
        <f>ClassBCapital</f>
        <v>547500</v>
      </c>
      <c r="D20" s="43">
        <f>-ReturnsTable[[#This Row],[Capital Investment]]</f>
        <v>-547500</v>
      </c>
      <c r="E20" s="43">
        <f>IF(1&gt;SaleExitYear,0,INDEX(WaterfallTable[Total Dist B],MATCH(1,WaterfallTable[Year],0)))</f>
        <v>0</v>
      </c>
      <c r="F20" s="43">
        <f>IF(2&gt;SaleExitYear,0,INDEX(WaterfallTable[Total Dist B],MATCH(2,WaterfallTable[Year],0)))</f>
        <v>0</v>
      </c>
      <c r="G20" s="43">
        <f>IF(3&gt;SaleExitYear,0,INDEX(WaterfallTable[Total Dist B],MATCH(3,WaterfallTable[Year],0)))</f>
        <v>309220.94523555308</v>
      </c>
      <c r="H20" s="43">
        <f>IF(4&gt;SaleExitYear,0,INDEX(WaterfallTable[Total Dist B],MATCH(4,WaterfallTable[Year],0)))</f>
        <v>15552.977350248344</v>
      </c>
      <c r="I20" s="43">
        <f>IF(5&gt;SaleExitYear,0,INDEX(WaterfallTable[Total Dist B],MATCH(5,WaterfallTable[Year],0)))</f>
        <v>457509.16024708352</v>
      </c>
      <c r="J20" s="43">
        <f>IF(6&gt;SaleExitYear,0,INDEX(WaterfallTable[Total Dist B],MATCH(6,WaterfallTable[Year],0)))</f>
        <v>0</v>
      </c>
      <c r="K20" s="43">
        <f>IF(7&gt;SaleExitYear,0,INDEX(WaterfallTable[Total Dist B],MATCH(7,WaterfallTable[Year],0)))</f>
        <v>0</v>
      </c>
      <c r="L20" s="43">
        <f>IF(8&gt;SaleExitYear,0,INDEX(WaterfallTable[Total Dist B],MATCH(8,WaterfallTable[Year],0)))</f>
        <v>0</v>
      </c>
      <c r="M20" s="43">
        <f>IF(9&gt;SaleExitYear,0,INDEX(WaterfallTable[Total Dist B],MATCH(9,WaterfallTable[Year],0)))</f>
        <v>0</v>
      </c>
      <c r="N20" s="43">
        <f>IF(10&gt;SaleExitYear,0,INDEX(WaterfallTable[Total Dist B],MATCH(10,WaterfallTable[Year],0)))</f>
        <v>0</v>
      </c>
      <c r="O20" s="43">
        <f>SUM(ReturnsTable[[#This Row],[Initial Capitalization]:[Year 10]])</f>
        <v>234783.08283288495</v>
      </c>
      <c r="P20" s="43">
        <f>ReturnsTable[[#This Row],[Total Profit]]+ReturnsTable[[#This Row],[Capital Investment]]</f>
        <v>782283.08283288497</v>
      </c>
      <c r="Q20" s="44">
        <f>IFERROR(ReturnsTable[[#This Row],[Total Dist]]/ReturnsTable[[#This Row],[Capital Investment]],0)</f>
        <v>1.4288275485532145</v>
      </c>
      <c r="R20" s="54">
        <f>IFERROR(ReturnsTable[[#This Row],[Total Profit]]/ReturnsTable[[#This Row],[Capital Investment]],0)</f>
        <v>0.42882754855321453</v>
      </c>
      <c r="S20" s="60">
        <f>IFERROR(IRR(ReturnsTable[[#This Row],[Initial Capitalization]:[Year 10]]),0)</f>
        <v>8.9826902125470953E-2</v>
      </c>
    </row>
    <row r="21" spans="1:19" x14ac:dyDescent="0.25">
      <c r="A21" s="51" t="s">
        <v>90</v>
      </c>
      <c r="B21" s="45">
        <f>SponsorCapitalInvestment</f>
        <v>136283</v>
      </c>
      <c r="C21" s="45">
        <f>SponsorBasis</f>
        <v>100000</v>
      </c>
      <c r="D21" s="45">
        <f>INDEX(WaterfallTable[Total Dist2],MATCH(0,WaterfallTable[Year],0))-ReturnsTable[[#This Row],[Capital Investment]]</f>
        <v>-36283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363431.34739884926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327148.34739884926</v>
      </c>
      <c r="P21" s="45">
        <f>ReturnsTable[[#This Row],[Total Profit]]+ReturnsTable[[#This Row],[Capital Investment]]</f>
        <v>463431.34739884926</v>
      </c>
      <c r="Q21" s="46">
        <f>IFERROR(ReturnsTable[[#This Row],[Total Dist]]/ReturnsTable[[#This Row],[Capital Investment]],0)</f>
        <v>3.4005073809561668</v>
      </c>
      <c r="R21" s="55">
        <f>IFERROR(ReturnsTable[[#This Row],[Total Profit]]/ReturnsTable[[#This Row],[Capital Investment]],0)</f>
        <v>2.4005073809561668</v>
      </c>
      <c r="S21" s="60">
        <f>IFERROR(IRR(ReturnsTable[[#This Row],[Initial Capitalization]:[Year 10]]),0)</f>
        <v>0.58541819876459078</v>
      </c>
    </row>
    <row r="22" spans="1:19" x14ac:dyDescent="0.25">
      <c r="A22" s="52" t="s">
        <v>288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3168</v>
      </c>
      <c r="F22" s="47">
        <f>IF(2&gt;SaleExitYear,0,ManagementFeeRate*INDEX(AnnualModelTable[Occupancy Effective Gross Income],MATCH(2,AnnualModelTable[Year],0)))</f>
        <v>7231.6799999999994</v>
      </c>
      <c r="G22" s="47">
        <f>IF(3&gt;SaleExitYear,0,ManagementFeeRate*INDEX(AnnualModelTable[Occupancy Effective Gross Income],MATCH(3,AnnualModelTable[Year],0)))</f>
        <v>8035.2</v>
      </c>
      <c r="H22" s="47">
        <f>IF(4&gt;SaleExitYear,0,ManagementFeeRate*INDEX(AnnualModelTable[Occupancy Effective Gross Income],MATCH(4,AnnualModelTable[Year],0)))</f>
        <v>8035.2</v>
      </c>
      <c r="I22" s="47">
        <f>IF(5&gt;SaleExitYear,0,ManagementFeeRate*INDEX(AnnualModelTable[Occupancy Effective Gross Income],MATCH(5,AnnualModelTable[Year],0)))</f>
        <v>8035.2</v>
      </c>
      <c r="J22" s="47">
        <f>IF(6&gt;SaleExitYear,0,ManagementFeeRate*INDEX(AnnualModelTable[Occupancy Effective Gross Income],MATCH(6,AnnualModelTable[Year],0)))</f>
        <v>0</v>
      </c>
      <c r="K22" s="47">
        <f>IF(7&gt;SaleExitYear,0,ManagementFeeRate*INDEX(AnnualModelTable[Occupancy Effective Gross Income],MATCH(7,AnnualModelTable[Year],0)))</f>
        <v>0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34505.279999999999</v>
      </c>
      <c r="P22" s="47">
        <f>ReturnsTable[[#This Row],[Total Profit]]</f>
        <v>34505.279999999999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47625</xdr:colOff>
                    <xdr:row>3</xdr:row>
                    <xdr:rowOff>114300</xdr:rowOff>
                  </from>
                  <to>
                    <xdr:col>17</xdr:col>
                    <xdr:colOff>790575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47625</xdr:colOff>
                    <xdr:row>3</xdr:row>
                    <xdr:rowOff>114300</xdr:rowOff>
                  </from>
                  <to>
                    <xdr:col>18</xdr:col>
                    <xdr:colOff>790575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114300</xdr:colOff>
                    <xdr:row>4</xdr:row>
                    <xdr:rowOff>9525</xdr:rowOff>
                  </from>
                  <to>
                    <xdr:col>17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114300</xdr:colOff>
                    <xdr:row>4</xdr:row>
                    <xdr:rowOff>9525</xdr:rowOff>
                  </from>
                  <to>
                    <xdr:col>18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114300</xdr:colOff>
                    <xdr:row>5</xdr:row>
                    <xdr:rowOff>9525</xdr:rowOff>
                  </from>
                  <to>
                    <xdr:col>17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114300</xdr:colOff>
                    <xdr:row>5</xdr:row>
                    <xdr:rowOff>9525</xdr:rowOff>
                  </from>
                  <to>
                    <xdr:col>18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114300</xdr:colOff>
                    <xdr:row>6</xdr:row>
                    <xdr:rowOff>9525</xdr:rowOff>
                  </from>
                  <to>
                    <xdr:col>17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114300</xdr:colOff>
                    <xdr:row>6</xdr:row>
                    <xdr:rowOff>9525</xdr:rowOff>
                  </from>
                  <to>
                    <xdr:col>18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114300</xdr:colOff>
                    <xdr:row>7</xdr:row>
                    <xdr:rowOff>9525</xdr:rowOff>
                  </from>
                  <to>
                    <xdr:col>17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114300</xdr:colOff>
                    <xdr:row>7</xdr:row>
                    <xdr:rowOff>9525</xdr:rowOff>
                  </from>
                  <to>
                    <xdr:col>18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114300</xdr:colOff>
                    <xdr:row>8</xdr:row>
                    <xdr:rowOff>9525</xdr:rowOff>
                  </from>
                  <to>
                    <xdr:col>17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114300</xdr:colOff>
                    <xdr:row>8</xdr:row>
                    <xdr:rowOff>9525</xdr:rowOff>
                  </from>
                  <to>
                    <xdr:col>18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114300</xdr:colOff>
                    <xdr:row>9</xdr:row>
                    <xdr:rowOff>9525</xdr:rowOff>
                  </from>
                  <to>
                    <xdr:col>17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114300</xdr:colOff>
                    <xdr:row>9</xdr:row>
                    <xdr:rowOff>9525</xdr:rowOff>
                  </from>
                  <to>
                    <xdr:col>18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114300</xdr:colOff>
                    <xdr:row>10</xdr:row>
                    <xdr:rowOff>9525</xdr:rowOff>
                  </from>
                  <to>
                    <xdr:col>17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114300</xdr:colOff>
                    <xdr:row>10</xdr:row>
                    <xdr:rowOff>9525</xdr:rowOff>
                  </from>
                  <to>
                    <xdr:col>18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114300</xdr:colOff>
                    <xdr:row>11</xdr:row>
                    <xdr:rowOff>9525</xdr:rowOff>
                  </from>
                  <to>
                    <xdr:col>17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114300</xdr:colOff>
                    <xdr:row>11</xdr:row>
                    <xdr:rowOff>9525</xdr:rowOff>
                  </from>
                  <to>
                    <xdr:col>18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114300</xdr:colOff>
                    <xdr:row>12</xdr:row>
                    <xdr:rowOff>9525</xdr:rowOff>
                  </from>
                  <to>
                    <xdr:col>17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114300</xdr:colOff>
                    <xdr:row>12</xdr:row>
                    <xdr:rowOff>9525</xdr:rowOff>
                  </from>
                  <to>
                    <xdr:col>18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114300</xdr:colOff>
                    <xdr:row>13</xdr:row>
                    <xdr:rowOff>9525</xdr:rowOff>
                  </from>
                  <to>
                    <xdr:col>17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114300</xdr:colOff>
                    <xdr:row>13</xdr:row>
                    <xdr:rowOff>9525</xdr:rowOff>
                  </from>
                  <to>
                    <xdr:col>18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</controls>
    </mc:Choice>
  </mc:AlternateContent>
  <tableParts count="2">
    <tablePart r:id="rId26"/>
    <tablePart r:id="rId2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78" t="s">
        <v>270</v>
      </c>
      <c r="B1" s="76"/>
      <c r="C1" s="76"/>
      <c r="D1" s="76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519799.48570431559</v>
      </c>
      <c r="D4" s="13">
        <f>C4-B4</f>
        <v>219799.48570431559</v>
      </c>
      <c r="E4" s="13">
        <f>IFERROR(C4/B4,0)</f>
        <v>1.7326649523477187</v>
      </c>
      <c r="F4" s="24">
        <f>IFERROR(D4/B4,0)</f>
        <v>0.73266495234771867</v>
      </c>
      <c r="G4" s="24">
        <f>IRR(H4:R4)</f>
        <v>0.1634264838474333</v>
      </c>
      <c r="H4" s="13">
        <f>-B4</f>
        <v>-300000</v>
      </c>
      <c r="I4" s="13">
        <f>INDEX(Waterfall!$I$4:$I$14,MATCH(1,Waterfall!$A$4:$A$14,0))</f>
        <v>5218.2078853046623</v>
      </c>
      <c r="J4" s="13">
        <f>INDEX(Waterfall!$I$4:$I$14,MATCH(2,Waterfall!$A$4:$A$14,0))</f>
        <v>50173.320000000007</v>
      </c>
      <c r="K4" s="13">
        <f>INDEX(Waterfall!$I$4:$I$14,MATCH(3,Waterfall!$A$4:$A$14,0))</f>
        <v>244608.47211469535</v>
      </c>
      <c r="L4" s="13">
        <f>INDEX(Waterfall!$I$4:$I$14,MATCH(4,Waterfall!$A$4:$A$14,0))</f>
        <v>0</v>
      </c>
      <c r="M4" s="13">
        <f>INDEX(Waterfall!$I$4:$I$14,MATCH(5,Waterfall!$A$4:$A$14,0))</f>
        <v>219799.48570431559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782283.08283288497</v>
      </c>
      <c r="D5" s="13">
        <f>C5-B5</f>
        <v>234783.08283288497</v>
      </c>
      <c r="E5" s="13">
        <f>IFERROR(C5/B5,0)</f>
        <v>1.4288275485532145</v>
      </c>
      <c r="F5" s="24">
        <f>IFERROR(D5/B5,0)</f>
        <v>0.42882754855321459</v>
      </c>
      <c r="G5" s="24">
        <f>IFERROR(IRR(H5:R5),0)</f>
        <v>8.9826902125470953E-2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309220.94523555308</v>
      </c>
      <c r="L5" s="13">
        <f>INDEX(Waterfall!$M$4:$M$14,MATCH(4,Waterfall!$A$4:$A$14,0))</f>
        <v>15552.977350248344</v>
      </c>
      <c r="M5" s="13">
        <f>INDEX(Waterfall!$M$4:$M$14,MATCH(5,Waterfall!$A$4:$A$14,0))</f>
        <v>457509.16024708352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463431.34739884926</v>
      </c>
      <c r="D6" s="13">
        <f>C6-B6</f>
        <v>363431.34739884926</v>
      </c>
      <c r="E6" s="13">
        <f>IFERROR(C6/B6,0)</f>
        <v>4.6343134739884926</v>
      </c>
      <c r="F6" s="24">
        <f>IFERROR(D6/B6,0)</f>
        <v>3.6343134739884926</v>
      </c>
      <c r="G6" s="24">
        <f>IFERROR(IRR(H6:R6),0)</f>
        <v>0.2944476065930457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363431.34739884926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75" t="s">
        <v>266</v>
      </c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83" t="s">
        <v>104</v>
      </c>
      <c r="C2" s="76"/>
      <c r="D2" s="76"/>
    </row>
    <row r="3" spans="1:10" x14ac:dyDescent="0.25">
      <c r="A3" s="13" t="s">
        <v>105</v>
      </c>
      <c r="B3" s="83" t="s">
        <v>106</v>
      </c>
      <c r="C3" s="76"/>
      <c r="D3" s="76"/>
      <c r="E3" s="76"/>
      <c r="F3" s="76"/>
      <c r="G3" s="76"/>
      <c r="H3" s="76"/>
      <c r="I3" s="76"/>
    </row>
    <row r="4" spans="1:10" x14ac:dyDescent="0.25">
      <c r="A4" s="13"/>
      <c r="B4" s="13"/>
      <c r="C4" s="83"/>
      <c r="D4" s="73"/>
      <c r="E4" s="73"/>
      <c r="F4" s="73"/>
      <c r="H4" s="13"/>
    </row>
    <row r="5" spans="1:10" ht="15.75" thickBot="1" x14ac:dyDescent="0.3">
      <c r="A5" s="13"/>
      <c r="B5" s="13"/>
      <c r="C5" s="83"/>
      <c r="D5" s="73"/>
      <c r="E5" s="73"/>
      <c r="F5" s="73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76" t="s">
        <v>160</v>
      </c>
      <c r="C62" s="76"/>
      <c r="D62" s="76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76" t="s">
        <v>164</v>
      </c>
      <c r="D66" s="76"/>
      <c r="E66" s="76"/>
      <c r="F66" s="76"/>
      <c r="G66" s="76"/>
    </row>
    <row r="67" spans="1:7" x14ac:dyDescent="0.25">
      <c r="A67" s="6" t="s">
        <v>165</v>
      </c>
      <c r="B67" s="6" t="s">
        <v>163</v>
      </c>
      <c r="C67" s="76" t="s">
        <v>164</v>
      </c>
      <c r="D67" s="76"/>
      <c r="E67" s="76"/>
      <c r="F67" s="76"/>
      <c r="G67" s="76"/>
    </row>
    <row r="68" spans="1:7" x14ac:dyDescent="0.25">
      <c r="A68" s="6" t="s">
        <v>166</v>
      </c>
      <c r="B68" s="6" t="s">
        <v>163</v>
      </c>
      <c r="C68" s="76" t="s">
        <v>164</v>
      </c>
      <c r="D68" s="76"/>
      <c r="E68" s="76"/>
      <c r="F68" s="76"/>
      <c r="G68" s="76"/>
    </row>
    <row r="69" spans="1:7" x14ac:dyDescent="0.25">
      <c r="A69" s="6" t="s">
        <v>167</v>
      </c>
      <c r="B69" s="6" t="s">
        <v>163</v>
      </c>
      <c r="C69" s="76" t="s">
        <v>164</v>
      </c>
      <c r="D69" s="76"/>
      <c r="E69" s="76"/>
      <c r="F69" s="76"/>
      <c r="G69" s="76"/>
    </row>
    <row r="70" spans="1:7" x14ac:dyDescent="0.25">
      <c r="A70" s="6" t="s">
        <v>168</v>
      </c>
      <c r="B70" s="6" t="s">
        <v>169</v>
      </c>
      <c r="C70" s="76" t="s">
        <v>170</v>
      </c>
      <c r="D70" s="76"/>
      <c r="E70" s="76"/>
      <c r="F70" s="76"/>
      <c r="G70" s="76"/>
    </row>
    <row r="71" spans="1:7" x14ac:dyDescent="0.25">
      <c r="A71" s="6" t="s">
        <v>171</v>
      </c>
      <c r="B71" s="6" t="s">
        <v>163</v>
      </c>
      <c r="C71" s="76" t="s">
        <v>172</v>
      </c>
      <c r="D71" s="76"/>
      <c r="E71" s="76"/>
      <c r="F71" s="76"/>
      <c r="G71" s="76"/>
    </row>
    <row r="72" spans="1:7" x14ac:dyDescent="0.25">
      <c r="A72" s="6" t="s">
        <v>173</v>
      </c>
      <c r="B72" s="6" t="s">
        <v>163</v>
      </c>
      <c r="C72" s="76" t="s">
        <v>174</v>
      </c>
      <c r="D72" s="76"/>
      <c r="E72" s="76"/>
      <c r="F72" s="76"/>
      <c r="G72" s="76"/>
    </row>
    <row r="73" spans="1:7" x14ac:dyDescent="0.25">
      <c r="A73" s="6" t="s">
        <v>175</v>
      </c>
      <c r="B73" s="6" t="s">
        <v>163</v>
      </c>
      <c r="C73" s="76" t="s">
        <v>176</v>
      </c>
      <c r="D73" s="76"/>
      <c r="E73" s="76"/>
      <c r="F73" s="76"/>
      <c r="G73" s="76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76" t="s">
        <v>179</v>
      </c>
      <c r="D76" s="76"/>
      <c r="E76" s="76"/>
      <c r="F76" s="76"/>
      <c r="G76" s="76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76" t="s">
        <v>185</v>
      </c>
      <c r="D81" s="76"/>
      <c r="E81" s="76"/>
      <c r="F81" s="76"/>
      <c r="G81" s="76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2026-05-17T20:10:29Z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