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56" documentId="13_ncr:1_{0C20EBD6-E2BD-404C-B47C-BDA54182D35E}" xr6:coauthVersionLast="47" xr6:coauthVersionMax="47" xr10:uidLastSave="{364B45A9-43A0-4763-A353-BDFF52ACBA25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6" l="1"/>
  <c r="B68" i="6"/>
  <c r="C17" i="6"/>
  <c r="C20" i="6" s="1"/>
  <c r="B17" i="6"/>
  <c r="B20" i="6" s="1"/>
  <c r="C50" i="6"/>
  <c r="B50" i="6"/>
  <c r="C41" i="6"/>
  <c r="B41" i="6"/>
  <c r="C32" i="6"/>
  <c r="B32" i="6"/>
  <c r="B10" i="6"/>
  <c r="B8" i="6"/>
  <c r="B7" i="6"/>
  <c r="B6" i="4"/>
  <c r="H6" i="4" s="1"/>
  <c r="B4" i="4"/>
  <c r="H4" i="4" s="1"/>
  <c r="F4" i="3"/>
  <c r="C4" i="3"/>
  <c r="K14" i="2"/>
  <c r="I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G6" i="2"/>
  <c r="L5" i="2"/>
  <c r="K5" i="2"/>
  <c r="I5" i="2"/>
  <c r="G5" i="2"/>
  <c r="L4" i="2"/>
  <c r="K4" i="2"/>
  <c r="I4" i="2"/>
  <c r="G4" i="2"/>
  <c r="D4" i="2"/>
  <c r="E4" i="2" s="1"/>
  <c r="F4" i="2" s="1"/>
  <c r="C4" i="2"/>
  <c r="B33" i="1"/>
  <c r="B17" i="1"/>
  <c r="C11" i="2" s="1"/>
  <c r="D11" i="2" s="1"/>
  <c r="B30" i="1" l="1"/>
  <c r="B9" i="6" s="1"/>
  <c r="B11" i="6" s="1"/>
  <c r="H4" i="2"/>
  <c r="J4" i="2" s="1"/>
  <c r="B4" i="3" s="1"/>
  <c r="C9" i="2"/>
  <c r="D9" i="2" s="1"/>
  <c r="E9" i="2" s="1"/>
  <c r="F9" i="2" s="1"/>
  <c r="C5" i="2"/>
  <c r="D5" i="2" s="1"/>
  <c r="E5" i="2" s="1"/>
  <c r="F5" i="2" s="1"/>
  <c r="H5" i="2" s="1"/>
  <c r="J5" i="2" s="1"/>
  <c r="B5" i="3" s="1"/>
  <c r="C13" i="2"/>
  <c r="D13" i="2" s="1"/>
  <c r="E13" i="2" s="1"/>
  <c r="F13" i="2" s="1"/>
  <c r="E11" i="2"/>
  <c r="F11" i="2" s="1"/>
  <c r="C8" i="2"/>
  <c r="D8" i="2" s="1"/>
  <c r="C12" i="2"/>
  <c r="D12" i="2" s="1"/>
  <c r="D4" i="3"/>
  <c r="C6" i="2"/>
  <c r="D6" i="2" s="1"/>
  <c r="C14" i="2"/>
  <c r="D14" i="2" s="1"/>
  <c r="C7" i="2"/>
  <c r="D7" i="2" s="1"/>
  <c r="C10" i="2"/>
  <c r="D10" i="2" s="1"/>
  <c r="K4" i="3" l="1"/>
  <c r="B5" i="4"/>
  <c r="H5" i="4" s="1"/>
  <c r="H13" i="2"/>
  <c r="J13" i="2" s="1"/>
  <c r="B13" i="3" s="1"/>
  <c r="L13" i="2"/>
  <c r="L11" i="2"/>
  <c r="H11" i="2"/>
  <c r="J11" i="2" s="1"/>
  <c r="B11" i="3" s="1"/>
  <c r="E10" i="2"/>
  <c r="F10" i="2" s="1"/>
  <c r="E14" i="2"/>
  <c r="F14" i="2" s="1"/>
  <c r="E12" i="2"/>
  <c r="F12" i="2" s="1"/>
  <c r="E7" i="2"/>
  <c r="F7" i="2" s="1"/>
  <c r="E6" i="2"/>
  <c r="F6" i="2" s="1"/>
  <c r="E8" i="2"/>
  <c r="F8" i="2" s="1"/>
  <c r="H9" i="2"/>
  <c r="J9" i="2" s="1"/>
  <c r="B9" i="3" s="1"/>
  <c r="L9" i="2"/>
  <c r="E4" i="3"/>
  <c r="H4" i="3" s="1"/>
  <c r="C5" i="3" s="1"/>
  <c r="C21" i="6"/>
  <c r="C22" i="6" s="1"/>
  <c r="B21" i="6"/>
  <c r="B22" i="6" s="1"/>
  <c r="L10" i="2" l="1"/>
  <c r="H10" i="2"/>
  <c r="J10" i="2" s="1"/>
  <c r="B10" i="3" s="1"/>
  <c r="L7" i="2"/>
  <c r="H7" i="2"/>
  <c r="J7" i="2" s="1"/>
  <c r="B7" i="3" s="1"/>
  <c r="H6" i="2"/>
  <c r="L6" i="2"/>
  <c r="B20" i="1" s="1"/>
  <c r="G4" i="3"/>
  <c r="I4" i="3" s="1"/>
  <c r="F5" i="3" s="1"/>
  <c r="H12" i="2"/>
  <c r="J12" i="2" s="1"/>
  <c r="B12" i="3" s="1"/>
  <c r="L12" i="2"/>
  <c r="H8" i="2"/>
  <c r="L8" i="2"/>
  <c r="I8" i="2" s="1"/>
  <c r="L14" i="2"/>
  <c r="H14" i="2"/>
  <c r="J14" i="2" s="1"/>
  <c r="B14" i="3" s="1"/>
  <c r="I6" i="2" l="1"/>
  <c r="J6" i="2" s="1"/>
  <c r="B6" i="3" s="1"/>
  <c r="B6" i="6"/>
  <c r="J8" i="2"/>
  <c r="B8" i="3" s="1"/>
  <c r="D5" i="3"/>
  <c r="J4" i="3"/>
  <c r="P4" i="3"/>
  <c r="L4" i="3" l="1"/>
  <c r="E5" i="3"/>
  <c r="H5" i="3" s="1"/>
  <c r="C6" i="3" s="1"/>
  <c r="G5" i="3" l="1"/>
  <c r="I5" i="3" s="1"/>
  <c r="F6" i="3" s="1"/>
  <c r="M4" i="3"/>
  <c r="K5" i="3" s="1"/>
  <c r="O4" i="3"/>
  <c r="R4" i="3" s="1"/>
  <c r="N4" i="3"/>
  <c r="Q4" i="3" s="1"/>
  <c r="D6" i="3" l="1"/>
  <c r="J5" i="3"/>
  <c r="P5" i="3"/>
  <c r="L5" i="3" l="1"/>
  <c r="I4" i="4"/>
  <c r="E6" i="3"/>
  <c r="G6" i="3" l="1"/>
  <c r="I6" i="3" s="1"/>
  <c r="F7" i="3" s="1"/>
  <c r="H6" i="3"/>
  <c r="C7" i="3" s="1"/>
  <c r="M5" i="3"/>
  <c r="K6" i="3" s="1"/>
  <c r="O5" i="3"/>
  <c r="R5" i="3" s="1"/>
  <c r="N5" i="3"/>
  <c r="Q5" i="3" s="1"/>
  <c r="D7" i="3" l="1"/>
  <c r="E7" i="3" s="1"/>
  <c r="I6" i="4"/>
  <c r="J6" i="3"/>
  <c r="I5" i="4"/>
  <c r="P6" i="3"/>
  <c r="G7" i="3" l="1"/>
  <c r="I7" i="3" s="1"/>
  <c r="F8" i="3" s="1"/>
  <c r="H7" i="3"/>
  <c r="C8" i="3" s="1"/>
  <c r="L6" i="3"/>
  <c r="N6" i="3" s="1"/>
  <c r="J4" i="4"/>
  <c r="J7" i="3" l="1"/>
  <c r="Q6" i="3"/>
  <c r="M6" i="3"/>
  <c r="K7" i="3" s="1"/>
  <c r="O6" i="3"/>
  <c r="R6" i="3" s="1"/>
  <c r="D8" i="3"/>
  <c r="E8" i="3" s="1"/>
  <c r="P7" i="3"/>
  <c r="G8" i="3" l="1"/>
  <c r="I8" i="3" s="1"/>
  <c r="F9" i="3" s="1"/>
  <c r="J6" i="4"/>
  <c r="J5" i="4"/>
  <c r="L7" i="3"/>
  <c r="O7" i="3" s="1"/>
  <c r="R7" i="3" s="1"/>
  <c r="H8" i="3"/>
  <c r="C9" i="3" s="1"/>
  <c r="K4" i="4"/>
  <c r="J8" i="3" l="1"/>
  <c r="M7" i="3"/>
  <c r="K8" i="3" s="1"/>
  <c r="K6" i="4"/>
  <c r="D9" i="3"/>
  <c r="E9" i="3" s="1"/>
  <c r="N7" i="3"/>
  <c r="Q7" i="3" s="1"/>
  <c r="P8" i="3"/>
  <c r="L4" i="4" s="1"/>
  <c r="L8" i="3" l="1"/>
  <c r="M8" i="3" s="1"/>
  <c r="K9" i="3" s="1"/>
  <c r="K5" i="4"/>
  <c r="G9" i="3"/>
  <c r="I9" i="3" s="1"/>
  <c r="F10" i="3" s="1"/>
  <c r="H9" i="3"/>
  <c r="C10" i="3" s="1"/>
  <c r="N8" i="3" l="1"/>
  <c r="Q8" i="3" s="1"/>
  <c r="L5" i="4" s="1"/>
  <c r="O8" i="3"/>
  <c r="R8" i="3" s="1"/>
  <c r="L6" i="4" s="1"/>
  <c r="D10" i="3"/>
  <c r="E10" i="3" s="1"/>
  <c r="J9" i="3"/>
  <c r="P9" i="3"/>
  <c r="M4" i="4" s="1"/>
  <c r="G10" i="3" l="1"/>
  <c r="I10" i="3" s="1"/>
  <c r="F11" i="3" s="1"/>
  <c r="L9" i="3"/>
  <c r="N9" i="3" s="1"/>
  <c r="H10" i="3"/>
  <c r="C11" i="3" s="1"/>
  <c r="O9" i="3" l="1"/>
  <c r="R9" i="3" s="1"/>
  <c r="M6" i="4" s="1"/>
  <c r="Q9" i="3"/>
  <c r="M5" i="4" s="1"/>
  <c r="M9" i="3"/>
  <c r="K10" i="3" s="1"/>
  <c r="D11" i="3"/>
  <c r="J10" i="3"/>
  <c r="P10" i="3"/>
  <c r="N4" i="4" s="1"/>
  <c r="L10" i="3" l="1"/>
  <c r="O10" i="3" s="1"/>
  <c r="R10" i="3" s="1"/>
  <c r="N6" i="4" s="1"/>
  <c r="E11" i="3"/>
  <c r="N10" i="3" l="1"/>
  <c r="Q10" i="3" s="1"/>
  <c r="N5" i="4" s="1"/>
  <c r="G11" i="3"/>
  <c r="I11" i="3" s="1"/>
  <c r="F12" i="3" s="1"/>
  <c r="M10" i="3"/>
  <c r="K11" i="3" s="1"/>
  <c r="H11" i="3"/>
  <c r="C12" i="3" s="1"/>
  <c r="J11" i="3" l="1"/>
  <c r="D12" i="3"/>
  <c r="E12" i="3" s="1"/>
  <c r="P11" i="3"/>
  <c r="O4" i="4" s="1"/>
  <c r="G12" i="3" l="1"/>
  <c r="I12" i="3" s="1"/>
  <c r="F13" i="3" s="1"/>
  <c r="L11" i="3"/>
  <c r="N11" i="3" s="1"/>
  <c r="H12" i="3"/>
  <c r="C13" i="3" s="1"/>
  <c r="O11" i="3" l="1"/>
  <c r="R11" i="3" s="1"/>
  <c r="O6" i="4" s="1"/>
  <c r="Q11" i="3"/>
  <c r="O5" i="4" s="1"/>
  <c r="M11" i="3"/>
  <c r="K12" i="3" s="1"/>
  <c r="D13" i="3"/>
  <c r="J12" i="3"/>
  <c r="P12" i="3"/>
  <c r="P4" i="4" s="1"/>
  <c r="L12" i="3" l="1"/>
  <c r="M12" i="3" s="1"/>
  <c r="K13" i="3" s="1"/>
  <c r="E13" i="3"/>
  <c r="G13" i="3" l="1"/>
  <c r="I13" i="3" s="1"/>
  <c r="F14" i="3" s="1"/>
  <c r="N12" i="3"/>
  <c r="Q12" i="3" s="1"/>
  <c r="P5" i="4" s="1"/>
  <c r="O12" i="3"/>
  <c r="R12" i="3" s="1"/>
  <c r="P6" i="4" s="1"/>
  <c r="H13" i="3"/>
  <c r="C14" i="3" s="1"/>
  <c r="J13" i="3" l="1"/>
  <c r="D14" i="3"/>
  <c r="P13" i="3"/>
  <c r="Q4" i="4" s="1"/>
  <c r="E14" i="3" l="1"/>
  <c r="L13" i="3"/>
  <c r="O13" i="3" s="1"/>
  <c r="R13" i="3" s="1"/>
  <c r="Q6" i="4" s="1"/>
  <c r="M13" i="3" l="1"/>
  <c r="K14" i="3" s="1"/>
  <c r="N13" i="3"/>
  <c r="Q13" i="3" s="1"/>
  <c r="Q5" i="4" s="1"/>
  <c r="G14" i="3"/>
  <c r="I14" i="3" s="1"/>
  <c r="H14" i="3"/>
  <c r="J14" i="3" l="1"/>
  <c r="P14" i="3"/>
  <c r="R4" i="4" l="1"/>
  <c r="G4" i="4" s="1"/>
  <c r="C4" i="4"/>
  <c r="L14" i="3"/>
  <c r="E4" i="4" l="1"/>
  <c r="D4" i="4"/>
  <c r="F4" i="4" s="1"/>
  <c r="M14" i="3"/>
  <c r="O14" i="3"/>
  <c r="R14" i="3" s="1"/>
  <c r="N14" i="3"/>
  <c r="Q14" i="3" s="1"/>
  <c r="R5" i="4" l="1"/>
  <c r="G5" i="4" s="1"/>
  <c r="C5" i="4"/>
  <c r="R6" i="4"/>
  <c r="G6" i="4" s="1"/>
  <c r="C6" i="4"/>
  <c r="E6" i="4" l="1"/>
  <c r="D6" i="4"/>
  <c r="F6" i="4" s="1"/>
  <c r="E5" i="4"/>
  <c r="D5" i="4"/>
  <c r="F5" i="4" s="1"/>
</calcChain>
</file>

<file path=xl/sharedStrings.xml><?xml version="1.0" encoding="utf-8"?>
<sst xmlns="http://schemas.openxmlformats.org/spreadsheetml/2006/main" count="264" uniqueCount="223">
  <si>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</si>
  <si>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</si>
  <si>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</si>
  <si>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</si>
  <si>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</si>
  <si>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</si>
  <si>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</si>
  <si>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</si>
  <si>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</si>
  <si>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</si>
  <si>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</si>
  <si>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</si>
  <si>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</si>
  <si>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</si>
  <si>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</si>
  <si>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</si>
  <si>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</si>
  <si>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</si>
  <si>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</si>
  <si>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</si>
  <si>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</si>
  <si>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</si>
  <si>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</si>
  <si>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</si>
  <si>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</si>
  <si>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</si>
  <si>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</si>
  <si>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</si>
  <si>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</si>
  <si>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</si>
  <si>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</si>
  <si>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</si>
  <si>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</si>
  <si>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</si>
  <si>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</si>
  <si>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</si>
  <si>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</si>
  <si>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</si>
  <si>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</si>
  <si>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</si>
  <si>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</si>
  <si>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</si>
  <si>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</si>
  <si>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</si>
  <si>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</si>
  <si>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</si>
  <si>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</si>
  <si>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</si>
  <si>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</si>
  <si>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</si>
  <si>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</si>
  <si>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</si>
  <si>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</si>
  <si>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</si>
  <si>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</si>
  <si>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</si>
  <si>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</si>
  <si>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</si>
  <si>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</si>
  <si>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</si>
  <si>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</si>
  <si>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</si>
  <si>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</si>
  <si>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</si>
  <si>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</si>
  <si>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</si>
  <si>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</si>
  <si>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</si>
  <si>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</si>
  <si>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</si>
  <si>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</si>
  <si>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</si>
  <si>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</si>
  <si>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</si>
  <si>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</si>
  <si>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</si>
  <si>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</si>
  <si>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</si>
  <si>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</si>
  <si>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</si>
  <si>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</si>
  <si>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</si>
  <si>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</si>
  <si>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</si>
  <si>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</si>
  <si>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</si>
  <si>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</si>
  <si>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</si>
  <si>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</si>
  <si>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</si>
  <si>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</si>
  <si>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</si>
  <si>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</si>
  <si>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</si>
  <si>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</si>
  <si>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</si>
  <si>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</si>
  <si>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</si>
  <si>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</si>
  <si>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</si>
  <si>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</si>
  <si>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</si>
  <si>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</si>
  <si>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</si>
  <si>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</si>
  <si>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</si>
  <si>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</si>
  <si>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</si>
  <si>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</si>
  <si>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</si>
  <si>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</si>
  <si>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</si>
  <si>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</si>
  <si>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</si>
  <si>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</si>
  <si>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</si>
  <si>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</si>
  <si>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</si>
  <si>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</si>
  <si>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</si>
  <si>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</si>
  <si>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</si>
  <si>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</si>
  <si>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</si>
  <si>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</si>
  <si>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</si>
  <si>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</si>
  <si>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</si>
  <si>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</si>
  <si>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</si>
  <si>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</si>
  <si>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</si>
  <si>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</si>
  <si>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</si>
  <si>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</si>
  <si>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</si>
  <si>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</si>
  <si>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</si>
  <si>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</si>
  <si>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</si>
  <si>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</si>
  <si>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Low</t>
  </si>
  <si>
    <t>High</t>
  </si>
  <si>
    <t>Estimated total project cost</t>
  </si>
  <si>
    <t>Funding Gap Analysis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</si>
  <si>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</si>
  <si>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</si>
  <si>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</si>
  <si>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</si>
  <si>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</si>
  <si>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</si>
  <si>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</si>
  <si>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</si>
  <si>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</si>
  <si>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</si>
  <si>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</si>
  <si>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</si>
  <si>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</si>
  <si>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</si>
  <si>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</si>
  <si>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</si>
  <si>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</si>
  <si>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</si>
  <si>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</si>
  <si>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</si>
  <si>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</si>
  <si>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</si>
  <si>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</si>
  <si>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</si>
  <si>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</si>
  <si>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</si>
  <si>
    <t>Total Class A + Class B capitalization</t>
  </si>
  <si>
    <t>Completion capital</t>
  </si>
  <si>
    <t>Sponsor-Controlled Working Case</t>
  </si>
  <si>
    <t>Outside-market benchmark total</t>
  </si>
  <si>
    <t>Outside-market benchmark note</t>
  </si>
  <si>
    <t>Not controlling case</t>
  </si>
  <si>
    <t>Stress benchmark</t>
  </si>
  <si>
    <t>Class A + Class B capitalization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</si>
  <si>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</si>
  <si>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</si>
  <si>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</si>
  <si>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Metric</t>
  </si>
  <si>
    <t>Low Case</t>
  </si>
  <si>
    <t>High Case</t>
  </si>
  <si>
    <t>Cost per SF at 5,000 SF</t>
  </si>
  <si>
    <t>Cost per SF at 6,000 SF</t>
  </si>
  <si>
    <t>Sponsor-Controlled Line-Item Bridge</t>
  </si>
  <si>
    <t>Design, entitlement, permits, and professional services</t>
  </si>
  <si>
    <t>Development, financing, insurance, carrying, and administration</t>
  </si>
  <si>
    <t>Post-frame building shell and interior buildout</t>
  </si>
  <si>
    <t>Sitework, access, grading, drainage, and parking</t>
  </si>
  <si>
    <t>Private utilities, well, wastewater, and related infrastructure</t>
  </si>
  <si>
    <t>Contingency and owner reserve</t>
  </si>
  <si>
    <t>Sponsor-Controlled Total Package</t>
  </si>
  <si>
    <t>Conditions Required To Support Target Range</t>
  </si>
  <si>
    <t>Post-frame approach accepted through design and permitting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</si>
  <si>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</si>
  <si>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</si>
  <si>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</si>
  <si>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</si>
  <si>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Suite count and bathroom/kitchenette count do not expand</t>
  </si>
  <si>
    <t>Finish package stays durable and efficient rather than luxury</t>
  </si>
  <si>
    <t>Project carries a disciplined contingency</t>
  </si>
  <si>
    <t>Risks That Could Break Target Range</t>
  </si>
  <si>
    <t>Advanced/high-cost wastewater system requirement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</si>
  <si>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</si>
  <si>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</si>
  <si>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</si>
  <si>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</si>
  <si>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</si>
  <si>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Yes</t>
  </si>
  <si>
    <t>Risk-adjusted sponsor-controlled total package</t>
  </si>
  <si>
    <t>Selected risk-adjusted sponsor-controlled total project cost</t>
  </si>
  <si>
    <t>Total project cost - risk adjusted</t>
  </si>
  <si>
    <t>Confirmed cost saver</t>
  </si>
  <si>
    <t>Not confirmed; risk reserve retained</t>
  </si>
  <si>
    <t>Confirmed scope control</t>
  </si>
  <si>
    <t>Confirmed finish discipline</t>
  </si>
  <si>
    <t>Confirmed reserve discipline</t>
  </si>
  <si>
    <t>Confirmed risk; wastewater allowance increased</t>
  </si>
  <si>
    <t>Confirmed risk; FF&amp;E/contingency allowance increased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</si>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</sst>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 wrapText="1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/>
    <xf numFmtId="1" fontId="0" fillId="0" borderId="0" xfId="0" applyNumberFormat="1"/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4" fillId="0" borderId="0" xfId="0" applyFont="1"/>
    <xf numFmtId="0" fontId="5" fillId="0" borderId="0" xfId="0" applyFont="1"/>
    <xf numFmtId="3" fontId="0" fillId="0" borderId="0" xfId="0" applyNumberFormat="1"/>
    <xf numFmtId="0" fontId="0" fillId="0" borderId="0" xfId="0"/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30" sqref="B30"/>
    </sheetView>
  </sheetViews>
  <sheetFormatPr defaultRowHeight="15" x14ac:dyDescent="0.25"/>
  <cols>
    <col min="1" max="1" width="47" bestFit="1" customWidth="1"/>
    <col min="2" max="2" width="57" bestFit="1" customWidth="1"/>
    <col min="3" max="3" width="53.42578125" bestFit="1" customWidth="1"/>
  </cols>
  <sheetData>
    <row r="1" spans="1:3" ht="18.75" x14ac:dyDescent="0.3">
      <c r="A1" s="4" t="s">
        <v>0</v>
      </c>
      <c r="B1" s="2"/>
      <c r="C1" s="5" t="s">
        <v>1</v>
      </c>
    </row>
    <row r="2" spans="1:3" x14ac:dyDescent="0.25">
      <c r="A2" s="2"/>
      <c r="B2" s="2"/>
      <c r="C2" s="2"/>
    </row>
    <row r="3" spans="1:3" x14ac:dyDescent="0.25">
      <c r="A3" s="6" t="s">
        <v>2</v>
      </c>
      <c r="B3" s="2"/>
      <c r="C3" s="2"/>
    </row>
    <row r="4" spans="1:3" x14ac:dyDescent="0.25">
      <c r="A4" s="2" t="s">
        <v>3</v>
      </c>
      <c r="B4" s="7">
        <v>2</v>
      </c>
      <c r="C4" s="5" t="s">
        <v>4</v>
      </c>
    </row>
    <row r="5" spans="1:3" x14ac:dyDescent="0.25">
      <c r="A5" s="2" t="s">
        <v>5</v>
      </c>
      <c r="B5" s="7">
        <v>4</v>
      </c>
      <c r="C5" s="5" t="s">
        <v>6</v>
      </c>
    </row>
    <row r="6" spans="1:3" x14ac:dyDescent="0.25">
      <c r="A6" s="2"/>
      <c r="B6" s="2"/>
      <c r="C6" s="2"/>
    </row>
    <row r="7" spans="1:3" x14ac:dyDescent="0.25">
      <c r="A7" s="6" t="s">
        <v>7</v>
      </c>
      <c r="B7" s="2"/>
      <c r="C7" s="2"/>
    </row>
    <row r="8" spans="1:3" x14ac:dyDescent="0.25">
      <c r="A8" s="2" t="s">
        <v>8</v>
      </c>
      <c r="B8" s="7">
        <v>4</v>
      </c>
      <c r="C8" s="5" t="s">
        <v>9</v>
      </c>
    </row>
    <row r="9" spans="1:3" x14ac:dyDescent="0.25">
      <c r="A9" s="2" t="s">
        <v>10</v>
      </c>
      <c r="B9" s="2">
        <v>1600</v>
      </c>
      <c r="C9" s="5" t="s">
        <v>11</v>
      </c>
    </row>
    <row r="10" spans="1:3" x14ac:dyDescent="0.25">
      <c r="A10" s="2" t="s">
        <v>12</v>
      </c>
      <c r="B10" s="7">
        <v>4</v>
      </c>
      <c r="C10" s="5" t="s">
        <v>13</v>
      </c>
    </row>
    <row r="11" spans="1:3" x14ac:dyDescent="0.25">
      <c r="A11" s="2" t="s">
        <v>14</v>
      </c>
      <c r="B11" s="2">
        <v>1100</v>
      </c>
      <c r="C11" s="5" t="s">
        <v>11</v>
      </c>
    </row>
    <row r="12" spans="1:3" x14ac:dyDescent="0.25">
      <c r="A12" s="2" t="s">
        <v>15</v>
      </c>
      <c r="B12" s="2">
        <v>0</v>
      </c>
      <c r="C12" s="5" t="s">
        <v>16</v>
      </c>
    </row>
    <row r="13" spans="1:3" x14ac:dyDescent="0.25">
      <c r="A13" s="2" t="s">
        <v>17</v>
      </c>
      <c r="B13" s="1">
        <v>0.93</v>
      </c>
      <c r="C13" s="5" t="s">
        <v>18</v>
      </c>
    </row>
    <row r="14" spans="1:3" x14ac:dyDescent="0.25">
      <c r="A14" s="2" t="s">
        <v>19</v>
      </c>
      <c r="B14" s="1">
        <v>0.5</v>
      </c>
      <c r="C14" s="5" t="s">
        <v>20</v>
      </c>
    </row>
    <row r="15" spans="1:3" x14ac:dyDescent="0.25">
      <c r="A15" s="2" t="s">
        <v>21</v>
      </c>
      <c r="B15" s="1">
        <v>0.4</v>
      </c>
      <c r="C15" s="5" t="s">
        <v>22</v>
      </c>
    </row>
    <row r="16" spans="1:3" x14ac:dyDescent="0.25">
      <c r="A16" s="2" t="s">
        <v>23</v>
      </c>
      <c r="B16" s="1">
        <v>0.03</v>
      </c>
      <c r="C16" s="5" t="s">
        <v>24</v>
      </c>
    </row>
    <row r="17" spans="1:3" x14ac:dyDescent="0.25">
      <c r="A17" s="2" t="s">
        <v>25</v>
      </c>
      <c r="B17" s="2">
        <f>B8*B9+B10*B11+B12</f>
        <v>10800</v>
      </c>
      <c r="C17" s="5" t="s">
        <v>26</v>
      </c>
    </row>
    <row r="18" spans="1:3" x14ac:dyDescent="0.25">
      <c r="A18" s="2"/>
      <c r="B18" s="2"/>
      <c r="C18" s="2"/>
    </row>
    <row r="19" spans="1:3" x14ac:dyDescent="0.25">
      <c r="A19" s="6" t="s">
        <v>27</v>
      </c>
      <c r="B19" s="2"/>
      <c r="C19" s="2"/>
    </row>
    <row r="20" spans="1:3" x14ac:dyDescent="0.25">
      <c r="A20" s="2" t="s">
        <v>28</v>
      </c>
      <c r="B20" s="2">
        <f>MIN(INDEX('Annual Model'!$L$4:$L$14,MATCH($B$4,'Annual Model'!$A$4:$A$14,0))*70%,$B$28+$B$30)</f>
        <v>744863.0399999998</v>
      </c>
      <c r="C20" s="5" t="s">
        <v>29</v>
      </c>
    </row>
    <row r="21" spans="1:3" x14ac:dyDescent="0.25">
      <c r="A21" s="2" t="s">
        <v>30</v>
      </c>
      <c r="B21" s="2">
        <v>650000</v>
      </c>
      <c r="C21" s="5" t="s">
        <v>31</v>
      </c>
    </row>
    <row r="22" spans="1:3" x14ac:dyDescent="0.25">
      <c r="A22" s="2" t="s">
        <v>32</v>
      </c>
      <c r="B22" s="1">
        <v>6.5000000000000002E-2</v>
      </c>
      <c r="C22" s="5" t="s">
        <v>33</v>
      </c>
    </row>
    <row r="23" spans="1:3" x14ac:dyDescent="0.25">
      <c r="A23" s="2" t="s">
        <v>34</v>
      </c>
      <c r="B23" s="7">
        <v>30</v>
      </c>
      <c r="C23" s="5" t="s">
        <v>35</v>
      </c>
    </row>
    <row r="24" spans="1:3" x14ac:dyDescent="0.25">
      <c r="A24" s="2" t="s">
        <v>36</v>
      </c>
      <c r="B24" s="1">
        <v>7.0000000000000007E-2</v>
      </c>
      <c r="C24" s="5" t="s">
        <v>37</v>
      </c>
    </row>
    <row r="25" spans="1:3" x14ac:dyDescent="0.25">
      <c r="A25" s="2" t="s">
        <v>38</v>
      </c>
      <c r="B25" s="1">
        <v>0.02</v>
      </c>
      <c r="C25" s="5" t="s">
        <v>39</v>
      </c>
    </row>
    <row r="26" spans="1:3" x14ac:dyDescent="0.25">
      <c r="A26" s="2"/>
      <c r="B26" s="2"/>
      <c r="C26" s="2"/>
    </row>
    <row r="27" spans="1:3" x14ac:dyDescent="0.25">
      <c r="A27" s="6" t="s">
        <v>40</v>
      </c>
      <c r="B27" s="2"/>
      <c r="C27" s="2"/>
    </row>
    <row r="28" spans="1:3" x14ac:dyDescent="0.25">
      <c r="A28" s="2" t="s">
        <v>41</v>
      </c>
      <c r="B28" s="2">
        <v>300000</v>
      </c>
      <c r="C28" s="5" t="s">
        <v>42</v>
      </c>
    </row>
    <row r="29" spans="1:3" x14ac:dyDescent="0.25">
      <c r="A29" s="2" t="s">
        <v>43</v>
      </c>
      <c r="B29" s="1">
        <v>0.08</v>
      </c>
      <c r="C29" s="5" t="s">
        <v>44</v>
      </c>
    </row>
    <row r="30" spans="1:3" x14ac:dyDescent="0.25">
      <c r="A30" s="2" t="s">
        <v>45</v>
      </c>
      <c r="B30" s="2">
        <f>MAX(0,'Cost Analysis'!$C$17-$B$28)</f>
        <v>1200000</v>
      </c>
      <c r="C30" s="5" t="s">
        <v>46</v>
      </c>
    </row>
    <row r="31" spans="1:3" x14ac:dyDescent="0.25">
      <c r="A31" s="2" t="s">
        <v>47</v>
      </c>
      <c r="B31" s="7">
        <v>1</v>
      </c>
      <c r="C31" s="5" t="s">
        <v>48</v>
      </c>
    </row>
    <row r="32" spans="1:3" x14ac:dyDescent="0.25">
      <c r="A32" s="2" t="s">
        <v>49</v>
      </c>
      <c r="B32" s="1">
        <v>0.4</v>
      </c>
      <c r="C32" s="5" t="s">
        <v>50</v>
      </c>
    </row>
    <row r="33" spans="1:3" x14ac:dyDescent="0.25">
      <c r="A33" s="2" t="s">
        <v>51</v>
      </c>
      <c r="B33" s="1">
        <f>1-B32</f>
        <v>0.6</v>
      </c>
      <c r="C33" s="5" t="s">
        <v>52</v>
      </c>
    </row>
    <row r="34" spans="1:3" x14ac:dyDescent="0.25">
      <c r="A34" s="2" t="s">
        <v>53</v>
      </c>
      <c r="B34" s="2">
        <v>150000</v>
      </c>
      <c r="C34" s="5" t="s">
        <v>54</v>
      </c>
    </row>
    <row r="35" spans="1:3" x14ac:dyDescent="0.25">
      <c r="A35" s="2"/>
      <c r="B35" s="2"/>
      <c r="C35" s="2"/>
    </row>
    <row r="36" spans="1:3" x14ac:dyDescent="0.25">
      <c r="A36" s="2" t="s">
        <v>55</v>
      </c>
      <c r="B36" s="5" t="s">
        <v>56</v>
      </c>
      <c r="C3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26.5703125" bestFit="1" customWidth="1"/>
    <col min="2" max="2" width="26"/>
    <col min="3" max="3" width="9.140625" bestFit="1" customWidth="1"/>
    <col min="4" max="4" width="8.85546875" bestFit="1" customWidth="1"/>
    <col min="5" max="5" width="9.85546875" bestFit="1" customWidth="1"/>
    <col min="6" max="6" width="6.5703125" bestFit="1" customWidth="1"/>
    <col min="7" max="7" width="7.42578125" bestFit="1" customWidth="1"/>
    <col min="8" max="9" width="9.140625" bestFit="1" customWidth="1"/>
    <col min="10" max="10" width="10" bestFit="1" customWidth="1"/>
    <col min="11" max="11" width="7.85546875" bestFit="1" customWidth="1"/>
    <col min="12" max="12" width="11.42578125" bestFit="1" customWidth="1"/>
  </cols>
  <sheetData>
    <row r="1" spans="1:12" ht="18.75" x14ac:dyDescent="0.3">
      <c r="A1" s="4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2">
        <v>0</v>
      </c>
      <c r="B4" s="2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2">
        <v>1</v>
      </c>
      <c r="B5" s="2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2">
        <v>2</v>
      </c>
      <c r="B6" s="2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2">
        <v>3</v>
      </c>
      <c r="B7" s="2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2">
        <v>4</v>
      </c>
      <c r="B8" s="2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2">
        <v>5</v>
      </c>
      <c r="B9" s="2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2">
        <v>6</v>
      </c>
      <c r="B10" s="2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2">
        <v>7</v>
      </c>
      <c r="B11" s="2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2">
        <v>8</v>
      </c>
      <c r="B12" s="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2">
        <v>9</v>
      </c>
      <c r="B13" s="2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2">
        <v>10</v>
      </c>
      <c r="B14" s="2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20.85546875" bestFit="1" customWidth="1"/>
    <col min="2" max="2" width="14" bestFit="1" customWidth="1"/>
    <col min="3" max="3" width="11.42578125" bestFit="1" customWidth="1"/>
    <col min="4" max="4" width="11.28515625" bestFit="1" customWidth="1"/>
    <col min="5" max="5" width="9" bestFit="1" customWidth="1"/>
    <col min="6" max="6" width="11.42578125" bestFit="1" customWidth="1"/>
    <col min="7" max="7" width="9.28515625" bestFit="1" customWidth="1"/>
    <col min="8" max="9" width="10.85546875" bestFit="1" customWidth="1"/>
    <col min="10" max="10" width="10.140625" bestFit="1" customWidth="1"/>
    <col min="11" max="11" width="11.28515625" bestFit="1" customWidth="1"/>
    <col min="12" max="12" width="9.28515625" bestFit="1" customWidth="1"/>
    <col min="13" max="13" width="9.140625" bestFit="1" customWidth="1"/>
    <col min="14" max="14" width="9.28515625" bestFit="1" customWidth="1"/>
    <col min="15" max="15" width="8.5703125" bestFit="1" customWidth="1"/>
    <col min="16" max="16" width="12" customWidth="1"/>
    <col min="17" max="17" width="10.28515625" bestFit="1" customWidth="1"/>
    <col min="18" max="18" width="8.140625" bestFit="1" customWidth="1"/>
  </cols>
  <sheetData>
    <row r="1" spans="1:18" ht="18.75" x14ac:dyDescent="0.3">
      <c r="A1" s="4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2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1200000</v>
      </c>
      <c r="L4" s="2">
        <f>IF(Assumptions!$B$31=1,MIN(J4,K4),0)</f>
        <v>0</v>
      </c>
      <c r="M4" s="2">
        <f t="shared" ref="M4:M14" si="5">K4-L4</f>
        <v>1200000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2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1200000</v>
      </c>
      <c r="L5" s="2">
        <f>IF(Assumptions!$B$31=1,MIN(J5,K5),0)</f>
        <v>0</v>
      </c>
      <c r="M5" s="2">
        <f t="shared" si="5"/>
        <v>1200000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2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1200000</v>
      </c>
      <c r="L6" s="2">
        <f>IF(Assumptions!$B$31=1,MIN(J6,K6),0)</f>
        <v>0</v>
      </c>
      <c r="M6" s="2">
        <f t="shared" si="5"/>
        <v>1200000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2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1200000</v>
      </c>
      <c r="L7" s="2">
        <f>IF(Assumptions!$B$31=1,MIN(J7,K7),0)</f>
        <v>0</v>
      </c>
      <c r="M7" s="2">
        <f t="shared" si="5"/>
        <v>1200000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2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1200000</v>
      </c>
      <c r="L8" s="2">
        <f>IF(Assumptions!$B$31=1,MIN(J8,K8),0)</f>
        <v>800815.35841304646</v>
      </c>
      <c r="M8" s="2">
        <f t="shared" si="5"/>
        <v>399184.64158695354</v>
      </c>
      <c r="N8" s="2">
        <f>MAX(0,J8-L8)*Assumptions!$B$32</f>
        <v>0</v>
      </c>
      <c r="O8" s="2">
        <f>MAX(0,J8-L8)*Assumptions!$B$33</f>
        <v>0</v>
      </c>
      <c r="P8" s="2">
        <f t="shared" si="6"/>
        <v>332919.50766490237</v>
      </c>
      <c r="Q8" s="2">
        <f t="shared" si="7"/>
        <v>800815.35841304646</v>
      </c>
      <c r="R8" s="2">
        <f t="shared" si="8"/>
        <v>0</v>
      </c>
    </row>
    <row r="9" spans="1:18" x14ac:dyDescent="0.25">
      <c r="A9" s="2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399184.64158695354</v>
      </c>
      <c r="L9" s="2">
        <f>IF(Assumptions!$B$31=1,MIN(J9,K9),0)</f>
        <v>79022.519913600001</v>
      </c>
      <c r="M9" s="2">
        <f t="shared" si="5"/>
        <v>320162.12167335354</v>
      </c>
      <c r="N9" s="2">
        <f>MAX(0,J9-L9)*Assumptions!$B$32</f>
        <v>0</v>
      </c>
      <c r="O9" s="2">
        <f>MAX(0,J9-L9)*Assumptions!$B$33</f>
        <v>0</v>
      </c>
      <c r="P9" s="2">
        <f t="shared" si="6"/>
        <v>0</v>
      </c>
      <c r="Q9" s="2">
        <f t="shared" si="7"/>
        <v>79022.519913600001</v>
      </c>
      <c r="R9" s="2">
        <f t="shared" si="8"/>
        <v>0</v>
      </c>
    </row>
    <row r="10" spans="1:18" x14ac:dyDescent="0.25">
      <c r="A10" s="2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320162.12167335354</v>
      </c>
      <c r="L10" s="2">
        <f>IF(Assumptions!$B$31=1,MIN(J10,K10),0)</f>
        <v>81393.195511008002</v>
      </c>
      <c r="M10" s="2">
        <f t="shared" si="5"/>
        <v>238768.92616234554</v>
      </c>
      <c r="N10" s="2">
        <f>MAX(0,J10-L10)*Assumptions!$B$32</f>
        <v>0</v>
      </c>
      <c r="O10" s="2">
        <f>MAX(0,J10-L10)*Assumptions!$B$33</f>
        <v>0</v>
      </c>
      <c r="P10" s="2">
        <f t="shared" si="6"/>
        <v>0</v>
      </c>
      <c r="Q10" s="2">
        <f t="shared" si="7"/>
        <v>81393.195511008002</v>
      </c>
      <c r="R10" s="2">
        <f t="shared" si="8"/>
        <v>0</v>
      </c>
    </row>
    <row r="11" spans="1:18" x14ac:dyDescent="0.25">
      <c r="A11" s="2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238768.92616234554</v>
      </c>
      <c r="L11" s="2">
        <f>IF(Assumptions!$B$31=1,MIN(J11,K11),0)</f>
        <v>83834.991376338236</v>
      </c>
      <c r="M11" s="2">
        <f t="shared" si="5"/>
        <v>154933.9347860073</v>
      </c>
      <c r="N11" s="2">
        <f>MAX(0,J11-L11)*Assumptions!$B$32</f>
        <v>0</v>
      </c>
      <c r="O11" s="2">
        <f>MAX(0,J11-L11)*Assumptions!$B$33</f>
        <v>0</v>
      </c>
      <c r="P11" s="2">
        <f t="shared" si="6"/>
        <v>0</v>
      </c>
      <c r="Q11" s="2">
        <f t="shared" si="7"/>
        <v>83834.991376338236</v>
      </c>
      <c r="R11" s="2">
        <f t="shared" si="8"/>
        <v>0</v>
      </c>
    </row>
    <row r="12" spans="1:18" x14ac:dyDescent="0.25">
      <c r="A12" s="2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154933.9347860073</v>
      </c>
      <c r="L12" s="2">
        <f>IF(Assumptions!$B$31=1,MIN(J12,K12),0)</f>
        <v>86350.041117628396</v>
      </c>
      <c r="M12" s="2">
        <f t="shared" si="5"/>
        <v>68583.893668378907</v>
      </c>
      <c r="N12" s="2">
        <f>MAX(0,J12-L12)*Assumptions!$B$32</f>
        <v>0</v>
      </c>
      <c r="O12" s="2">
        <f>MAX(0,J12-L12)*Assumptions!$B$33</f>
        <v>0</v>
      </c>
      <c r="P12" s="2">
        <f t="shared" si="6"/>
        <v>0</v>
      </c>
      <c r="Q12" s="2">
        <f t="shared" si="7"/>
        <v>86350.041117628396</v>
      </c>
      <c r="R12" s="2">
        <f t="shared" si="8"/>
        <v>0</v>
      </c>
    </row>
    <row r="13" spans="1:18" x14ac:dyDescent="0.25">
      <c r="A13" s="2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68583.893668378907</v>
      </c>
      <c r="L13" s="2">
        <f>IF(Assumptions!$B$31=1,MIN(J13,K13),0)</f>
        <v>68583.893668378907</v>
      </c>
      <c r="M13" s="2">
        <f t="shared" si="5"/>
        <v>0</v>
      </c>
      <c r="N13" s="2">
        <f>MAX(0,J13-L13)*Assumptions!$B$32</f>
        <v>8142.6594731113355</v>
      </c>
      <c r="O13" s="2">
        <f>MAX(0,J13-L13)*Assumptions!$B$33</f>
        <v>12213.989209667003</v>
      </c>
      <c r="P13" s="2">
        <f t="shared" si="6"/>
        <v>0</v>
      </c>
      <c r="Q13" s="2">
        <f t="shared" si="7"/>
        <v>76726.553141490236</v>
      </c>
      <c r="R13" s="2">
        <f t="shared" si="8"/>
        <v>12213.989209667003</v>
      </c>
    </row>
    <row r="14" spans="1:18" x14ac:dyDescent="0.25">
      <c r="A14" s="2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42.85546875" bestFit="1" customWidth="1"/>
    <col min="2" max="2" width="151.140625" bestFit="1" customWidth="1"/>
    <col min="3" max="3" width="12.42578125" customWidth="1"/>
    <col min="4" max="4" width="9.7109375" bestFit="1" customWidth="1"/>
    <col min="5" max="5" width="8.7109375" bestFit="1" customWidth="1"/>
    <col min="6" max="6" width="6.140625" bestFit="1" customWidth="1"/>
    <col min="7" max="7" width="3.85546875" bestFit="1" customWidth="1"/>
    <col min="8" max="8" width="9.85546875" bestFit="1" customWidth="1"/>
    <col min="9" max="11" width="6.5703125" bestFit="1" customWidth="1"/>
    <col min="12" max="12" width="7.5703125" bestFit="1" customWidth="1"/>
    <col min="13" max="17" width="6.5703125" bestFit="1" customWidth="1"/>
    <col min="18" max="18" width="7.28515625" bestFit="1" customWidth="1"/>
  </cols>
  <sheetData>
    <row r="1" spans="1:18" ht="18.75" x14ac:dyDescent="0.3">
      <c r="A1" s="4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s="3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s="2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2">
        <f>C4/B4</f>
        <v>1.4</v>
      </c>
      <c r="F4" s="2">
        <f>D4/B4</f>
        <v>0.4</v>
      </c>
      <c r="G4" s="2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s="2" t="s">
        <v>113</v>
      </c>
      <c r="B5" s="2">
        <f>Assumptions!$B$30</f>
        <v>1200000</v>
      </c>
      <c r="C5" s="2">
        <f>SUM(Waterfall!Q4:Q14)</f>
        <v>1244786.1629217882</v>
      </c>
      <c r="D5" s="2">
        <f>C5-B5</f>
        <v>44786.162921788171</v>
      </c>
      <c r="E5" s="2">
        <f>IFERROR(C5/B5,0)</f>
        <v>1.0373218024348234</v>
      </c>
      <c r="F5" s="2">
        <f>IFERROR(D5/B5,0)</f>
        <v>3.7321802434823477E-2</v>
      </c>
      <c r="G5" s="2">
        <f>IFERROR(IRR(H5:R5),0)</f>
        <v>7.1446495454470238E-3</v>
      </c>
      <c r="H5" s="2">
        <f>-B5</f>
        <v>-1200000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800815.35841304646</v>
      </c>
      <c r="M5" s="2">
        <f>Waterfall!Q9</f>
        <v>79022.519913600001</v>
      </c>
      <c r="N5" s="2">
        <f>Waterfall!Q10</f>
        <v>81393.195511008002</v>
      </c>
      <c r="O5" s="2">
        <f>Waterfall!Q11</f>
        <v>83834.991376338236</v>
      </c>
      <c r="P5" s="2">
        <f>Waterfall!Q12</f>
        <v>86350.041117628396</v>
      </c>
      <c r="Q5" s="2">
        <f>Waterfall!Q13</f>
        <v>76726.553141490236</v>
      </c>
      <c r="R5" s="2">
        <f>Waterfall!Q14</f>
        <v>36643.503448676776</v>
      </c>
    </row>
    <row r="6" spans="1:18" x14ac:dyDescent="0.25">
      <c r="A6" s="2" t="s">
        <v>114</v>
      </c>
      <c r="B6" s="2">
        <f>Assumptions!$B$34</f>
        <v>150000</v>
      </c>
      <c r="C6" s="2">
        <f>SUM(Waterfall!R4:R14)</f>
        <v>67179.244382682155</v>
      </c>
      <c r="D6" s="2">
        <f>C6-B6</f>
        <v>-82820.755617317845</v>
      </c>
      <c r="E6" s="2">
        <f>IFERROR(C6/B6,0)</f>
        <v>0.44786162921788103</v>
      </c>
      <c r="F6" s="2">
        <f>IFERROR(D6/B6,0)</f>
        <v>-0.55213837078211891</v>
      </c>
      <c r="G6" s="2">
        <f>IFERROR(IRR(H6:R6),0)</f>
        <v>-7.8511343309024206E-2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0</v>
      </c>
      <c r="M6" s="2">
        <f>Waterfall!R9</f>
        <v>0</v>
      </c>
      <c r="N6" s="2">
        <f>Waterfall!R10</f>
        <v>0</v>
      </c>
      <c r="O6" s="2">
        <f>Waterfall!R11</f>
        <v>0</v>
      </c>
      <c r="P6" s="2">
        <f>Waterfall!R12</f>
        <v>0</v>
      </c>
      <c r="Q6" s="2">
        <f>Waterfall!R13</f>
        <v>12213.989209667003</v>
      </c>
      <c r="R6" s="2">
        <f>Waterfall!R14</f>
        <v>54965.255173015154</v>
      </c>
    </row>
    <row r="7" spans="1:18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6" t="s">
        <v>115</v>
      </c>
      <c r="B9" s="5" t="s">
        <v>116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4" t="s">
        <v>117</v>
      </c>
      <c r="B1" s="2"/>
    </row>
    <row r="2" spans="1:2" x14ac:dyDescent="0.25">
      <c r="A2" s="2"/>
      <c r="B2" s="2"/>
    </row>
    <row r="3" spans="1:2" x14ac:dyDescent="0.25">
      <c r="A3" s="6" t="s">
        <v>118</v>
      </c>
      <c r="B3" s="2" t="s">
        <v>119</v>
      </c>
    </row>
    <row r="4" spans="1:2" x14ac:dyDescent="0.25">
      <c r="A4" s="6" t="s">
        <v>120</v>
      </c>
      <c r="B4" s="2" t="s">
        <v>121</v>
      </c>
    </row>
    <row r="5" spans="1:2" x14ac:dyDescent="0.25">
      <c r="A5" s="6" t="s">
        <v>112</v>
      </c>
      <c r="B5" s="2" t="s">
        <v>122</v>
      </c>
    </row>
    <row r="6" spans="1:2" x14ac:dyDescent="0.25">
      <c r="A6" s="6" t="s">
        <v>113</v>
      </c>
      <c r="B6" s="2" t="s">
        <v>123</v>
      </c>
    </row>
    <row r="7" spans="1:2" x14ac:dyDescent="0.25">
      <c r="A7" s="6" t="s">
        <v>114</v>
      </c>
      <c r="B7" s="2" t="s">
        <v>124</v>
      </c>
    </row>
    <row r="8" spans="1:2" x14ac:dyDescent="0.25">
      <c r="A8" s="6" t="s">
        <v>125</v>
      </c>
      <c r="B8" s="2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6"/>
  <sheetViews>
    <sheetView tabSelected="1" topLeftCell="A13" workbookViewId="0">
      <selection activeCell="C78" sqref="C77:E78"/>
    </sheetView>
  </sheetViews>
  <sheetFormatPr defaultRowHeight="15" x14ac:dyDescent="0.25"/>
  <cols>
    <col min="1" max="1" width="69.7109375" bestFit="1" customWidth="1"/>
    <col min="2" max="2" width="18.85546875" bestFit="1" customWidth="1"/>
    <col min="3" max="3" width="24.42578125" customWidth="1"/>
  </cols>
  <sheetData>
    <row r="1" spans="1:4" x14ac:dyDescent="0.25">
      <c r="A1" s="2" t="s">
        <v>127</v>
      </c>
      <c r="B1" s="2"/>
      <c r="C1" s="2"/>
    </row>
    <row r="2" spans="1:4" x14ac:dyDescent="0.25">
      <c r="A2" s="2" t="s">
        <v>128</v>
      </c>
      <c r="B2" s="12" t="s">
        <v>129</v>
      </c>
      <c r="C2" s="13"/>
      <c r="D2" s="13"/>
    </row>
    <row r="3" spans="1:4" x14ac:dyDescent="0.25">
      <c r="A3" s="2" t="s">
        <v>130</v>
      </c>
      <c r="B3" s="12" t="s">
        <v>131</v>
      </c>
      <c r="C3" s="13"/>
      <c r="D3" s="13"/>
    </row>
    <row r="4" spans="1:4" x14ac:dyDescent="0.25">
      <c r="A4" s="2"/>
      <c r="B4" s="2"/>
      <c r="C4" s="2"/>
    </row>
    <row r="5" spans="1:4" x14ac:dyDescent="0.25">
      <c r="A5" s="2" t="s">
        <v>132</v>
      </c>
      <c r="B5" s="2" t="s">
        <v>133</v>
      </c>
      <c r="C5" s="2" t="s">
        <v>134</v>
      </c>
    </row>
    <row r="6" spans="1:4" x14ac:dyDescent="0.25">
      <c r="A6" s="2" t="s">
        <v>135</v>
      </c>
      <c r="B6" s="2">
        <f>Assumptions!$B$20</f>
        <v>744863.0399999998</v>
      </c>
      <c r="C6" s="2" t="s">
        <v>136</v>
      </c>
    </row>
    <row r="7" spans="1:4" x14ac:dyDescent="0.25">
      <c r="A7" s="2" t="s">
        <v>137</v>
      </c>
      <c r="B7" s="2">
        <f>Assumptions!$B$21</f>
        <v>650000</v>
      </c>
      <c r="C7" s="2" t="s">
        <v>136</v>
      </c>
    </row>
    <row r="8" spans="1:4" x14ac:dyDescent="0.25">
      <c r="A8" s="2" t="s">
        <v>138</v>
      </c>
      <c r="B8" s="2">
        <f>Assumptions!$B$28</f>
        <v>300000</v>
      </c>
      <c r="C8" s="2" t="s">
        <v>136</v>
      </c>
    </row>
    <row r="9" spans="1:4" x14ac:dyDescent="0.25">
      <c r="A9" s="2" t="s">
        <v>139</v>
      </c>
      <c r="B9" s="2">
        <f>Assumptions!$B$30</f>
        <v>1200000</v>
      </c>
      <c r="C9" s="2" t="s">
        <v>136</v>
      </c>
    </row>
    <row r="10" spans="1:4" x14ac:dyDescent="0.25">
      <c r="A10" s="2" t="s">
        <v>140</v>
      </c>
      <c r="B10" s="2">
        <f>Assumptions!$B$34</f>
        <v>150000</v>
      </c>
      <c r="C10" s="2" t="s">
        <v>136</v>
      </c>
    </row>
    <row r="11" spans="1:4" x14ac:dyDescent="0.25">
      <c r="A11" s="2" t="s">
        <v>171</v>
      </c>
      <c r="B11" s="2">
        <f>B8+B9</f>
        <v>1500000</v>
      </c>
      <c r="C11" s="2" t="s">
        <v>172</v>
      </c>
    </row>
    <row r="12" spans="1:4" x14ac:dyDescent="0.25">
      <c r="A12" s="2"/>
      <c r="B12" s="2"/>
      <c r="C12" s="2"/>
    </row>
    <row r="13" spans="1:4" x14ac:dyDescent="0.25">
      <c r="A13" s="2" t="s">
        <v>173</v>
      </c>
      <c r="B13" s="2" t="s">
        <v>141</v>
      </c>
      <c r="C13" s="2" t="s">
        <v>142</v>
      </c>
    </row>
    <row r="14" spans="1:4" x14ac:dyDescent="0.25">
      <c r="A14" s="2" t="s">
        <v>212</v>
      </c>
      <c r="B14" s="2">
        <v>750000</v>
      </c>
      <c r="C14" s="2">
        <v>1500000</v>
      </c>
    </row>
    <row r="15" spans="1:4" x14ac:dyDescent="0.25">
      <c r="A15" s="2" t="s">
        <v>174</v>
      </c>
      <c r="B15" s="2">
        <v>1880000</v>
      </c>
      <c r="C15" s="2">
        <v>4160000</v>
      </c>
    </row>
    <row r="16" spans="1:4" x14ac:dyDescent="0.25">
      <c r="A16" s="2" t="s">
        <v>175</v>
      </c>
      <c r="B16" s="2" t="s">
        <v>176</v>
      </c>
      <c r="C16" s="2" t="s">
        <v>177</v>
      </c>
    </row>
    <row r="17" spans="1:3" x14ac:dyDescent="0.25">
      <c r="A17" s="2" t="s">
        <v>213</v>
      </c>
      <c r="B17" s="2">
        <f>B14</f>
        <v>750000</v>
      </c>
      <c r="C17" s="2">
        <f>C14</f>
        <v>1500000</v>
      </c>
    </row>
    <row r="18" spans="1:3" x14ac:dyDescent="0.25">
      <c r="A18" s="2"/>
      <c r="B18" s="2"/>
      <c r="C18" s="2"/>
    </row>
    <row r="19" spans="1:3" x14ac:dyDescent="0.25">
      <c r="A19" s="2" t="s">
        <v>144</v>
      </c>
      <c r="B19" s="2" t="s">
        <v>141</v>
      </c>
      <c r="C19" s="2" t="s">
        <v>142</v>
      </c>
    </row>
    <row r="20" spans="1:3" x14ac:dyDescent="0.25">
      <c r="A20" s="2" t="s">
        <v>143</v>
      </c>
      <c r="B20" s="2">
        <f>B17</f>
        <v>750000</v>
      </c>
      <c r="C20" s="2">
        <f>C17</f>
        <v>1500000</v>
      </c>
    </row>
    <row r="21" spans="1:3" x14ac:dyDescent="0.25">
      <c r="A21" s="2" t="s">
        <v>178</v>
      </c>
      <c r="B21" s="2">
        <f>B11</f>
        <v>1500000</v>
      </c>
      <c r="C21" s="2">
        <f>B11</f>
        <v>1500000</v>
      </c>
    </row>
    <row r="22" spans="1:3" x14ac:dyDescent="0.25">
      <c r="A22" s="2" t="s">
        <v>145</v>
      </c>
      <c r="B22" s="2">
        <f>MAX(0,B20-B21)</f>
        <v>0</v>
      </c>
      <c r="C22" s="2">
        <f>MAX(0,C20-C21)</f>
        <v>0</v>
      </c>
    </row>
    <row r="23" spans="1:3" x14ac:dyDescent="0.25">
      <c r="A23" s="2"/>
      <c r="B23" s="2"/>
      <c r="C23" s="2"/>
    </row>
    <row r="24" spans="1:3" x14ac:dyDescent="0.25">
      <c r="A24" s="2" t="s">
        <v>146</v>
      </c>
      <c r="B24" s="2" t="s">
        <v>141</v>
      </c>
      <c r="C24" s="2" t="s">
        <v>142</v>
      </c>
    </row>
    <row r="25" spans="1:3" x14ac:dyDescent="0.25">
      <c r="A25" s="2" t="s">
        <v>147</v>
      </c>
      <c r="B25" s="2">
        <v>35000</v>
      </c>
      <c r="C25" s="2">
        <v>90000</v>
      </c>
    </row>
    <row r="26" spans="1:3" x14ac:dyDescent="0.25">
      <c r="A26" s="2" t="s">
        <v>148</v>
      </c>
      <c r="B26" s="2">
        <v>20000</v>
      </c>
      <c r="C26" s="2">
        <v>60000</v>
      </c>
    </row>
    <row r="27" spans="1:3" x14ac:dyDescent="0.25">
      <c r="A27" s="2" t="s">
        <v>149</v>
      </c>
      <c r="B27" s="2">
        <v>20000</v>
      </c>
      <c r="C27" s="2">
        <v>90000</v>
      </c>
    </row>
    <row r="28" spans="1:3" x14ac:dyDescent="0.25">
      <c r="A28" s="2" t="s">
        <v>150</v>
      </c>
      <c r="B28" s="2">
        <v>10000</v>
      </c>
      <c r="C28" s="2">
        <v>30000</v>
      </c>
    </row>
    <row r="29" spans="1:3" x14ac:dyDescent="0.25">
      <c r="A29" s="2" t="s">
        <v>151</v>
      </c>
      <c r="B29" s="2">
        <v>15000</v>
      </c>
      <c r="C29" s="2">
        <v>50000</v>
      </c>
    </row>
    <row r="30" spans="1:3" x14ac:dyDescent="0.25">
      <c r="A30" s="2" t="s">
        <v>152</v>
      </c>
      <c r="B30" s="2">
        <v>15000</v>
      </c>
      <c r="C30" s="2">
        <v>40000</v>
      </c>
    </row>
    <row r="31" spans="1:3" x14ac:dyDescent="0.25">
      <c r="A31" s="2" t="s">
        <v>153</v>
      </c>
      <c r="B31" s="2">
        <v>15000</v>
      </c>
      <c r="C31" s="2">
        <v>45000</v>
      </c>
    </row>
    <row r="32" spans="1:3" x14ac:dyDescent="0.25">
      <c r="A32" s="2" t="s">
        <v>154</v>
      </c>
      <c r="B32" s="2">
        <f>SUM(B25:B31)</f>
        <v>130000</v>
      </c>
      <c r="C32" s="2">
        <f>SUM(C25:C31)</f>
        <v>405000</v>
      </c>
    </row>
    <row r="33" spans="1:3" x14ac:dyDescent="0.25">
      <c r="A33" s="2"/>
      <c r="B33" s="2"/>
      <c r="C33" s="2"/>
    </row>
    <row r="34" spans="1:3" x14ac:dyDescent="0.25">
      <c r="A34" s="2" t="s">
        <v>155</v>
      </c>
      <c r="B34" s="2" t="s">
        <v>141</v>
      </c>
      <c r="C34" s="2" t="s">
        <v>142</v>
      </c>
    </row>
    <row r="35" spans="1:3" x14ac:dyDescent="0.25">
      <c r="A35" s="2" t="s">
        <v>156</v>
      </c>
      <c r="B35" s="2">
        <v>50000</v>
      </c>
      <c r="C35" s="2">
        <v>150000</v>
      </c>
    </row>
    <row r="36" spans="1:3" x14ac:dyDescent="0.25">
      <c r="A36" s="2" t="s">
        <v>157</v>
      </c>
      <c r="B36" s="2">
        <v>40000</v>
      </c>
      <c r="C36" s="2">
        <v>120000</v>
      </c>
    </row>
    <row r="37" spans="1:3" x14ac:dyDescent="0.25">
      <c r="A37" s="2" t="s">
        <v>158</v>
      </c>
      <c r="B37" s="2">
        <v>25000</v>
      </c>
      <c r="C37" s="2">
        <v>75000</v>
      </c>
    </row>
    <row r="38" spans="1:3" x14ac:dyDescent="0.25">
      <c r="A38" s="2" t="s">
        <v>159</v>
      </c>
      <c r="B38" s="2">
        <v>10000</v>
      </c>
      <c r="C38" s="2">
        <v>30000</v>
      </c>
    </row>
    <row r="39" spans="1:3" x14ac:dyDescent="0.25">
      <c r="A39" s="2" t="s">
        <v>160</v>
      </c>
      <c r="B39" s="2">
        <v>20000</v>
      </c>
      <c r="C39" s="2">
        <v>60000</v>
      </c>
    </row>
    <row r="40" spans="1:3" x14ac:dyDescent="0.25">
      <c r="A40" s="2" t="s">
        <v>161</v>
      </c>
      <c r="B40" s="2">
        <v>40000</v>
      </c>
      <c r="C40" s="2">
        <v>125000</v>
      </c>
    </row>
    <row r="41" spans="1:3" x14ac:dyDescent="0.25">
      <c r="A41" s="2" t="s">
        <v>162</v>
      </c>
      <c r="B41" s="2">
        <f>SUM(B35:B40)</f>
        <v>185000</v>
      </c>
      <c r="C41" s="2">
        <f>SUM(C35:C40)</f>
        <v>560000</v>
      </c>
    </row>
    <row r="42" spans="1:3" x14ac:dyDescent="0.25">
      <c r="A42" s="2"/>
      <c r="B42" s="2"/>
      <c r="C42" s="2"/>
    </row>
    <row r="43" spans="1:3" x14ac:dyDescent="0.25">
      <c r="A43" s="2" t="s">
        <v>163</v>
      </c>
      <c r="B43" s="2" t="s">
        <v>141</v>
      </c>
      <c r="C43" s="2" t="s">
        <v>142</v>
      </c>
    </row>
    <row r="44" spans="1:3" x14ac:dyDescent="0.25">
      <c r="A44" s="2" t="s">
        <v>164</v>
      </c>
      <c r="B44" s="2">
        <v>1125000</v>
      </c>
      <c r="C44" s="2">
        <v>1950000</v>
      </c>
    </row>
    <row r="45" spans="1:3" x14ac:dyDescent="0.25">
      <c r="A45" s="2" t="s">
        <v>165</v>
      </c>
      <c r="B45" s="2">
        <v>125000</v>
      </c>
      <c r="C45" s="2">
        <v>350000</v>
      </c>
    </row>
    <row r="46" spans="1:3" x14ac:dyDescent="0.25">
      <c r="A46" s="2" t="s">
        <v>166</v>
      </c>
      <c r="B46" s="2">
        <v>35000</v>
      </c>
      <c r="C46" s="2">
        <v>125000</v>
      </c>
    </row>
    <row r="47" spans="1:3" x14ac:dyDescent="0.25">
      <c r="A47" s="2" t="s">
        <v>167</v>
      </c>
      <c r="B47" s="2">
        <v>75000</v>
      </c>
      <c r="C47" s="2">
        <v>300000</v>
      </c>
    </row>
    <row r="48" spans="1:3" x14ac:dyDescent="0.25">
      <c r="A48" s="2" t="s">
        <v>168</v>
      </c>
      <c r="B48" s="2">
        <v>60000</v>
      </c>
      <c r="C48" s="2">
        <v>180000</v>
      </c>
    </row>
    <row r="49" spans="1:4" x14ac:dyDescent="0.25">
      <c r="A49" s="2" t="s">
        <v>169</v>
      </c>
      <c r="B49" s="2">
        <v>145000</v>
      </c>
      <c r="C49" s="2">
        <v>290000</v>
      </c>
    </row>
    <row r="50" spans="1:4" x14ac:dyDescent="0.25">
      <c r="A50" s="2" t="s">
        <v>170</v>
      </c>
      <c r="B50" s="2">
        <f>SUM(B44:B49)</f>
        <v>1565000</v>
      </c>
      <c r="C50" s="2">
        <f>SUM(C44:C49)</f>
        <v>3195000</v>
      </c>
    </row>
    <row r="52" spans="1:4" x14ac:dyDescent="0.25">
      <c r="A52" s="10" t="s">
        <v>179</v>
      </c>
    </row>
    <row r="53" spans="1:4" x14ac:dyDescent="0.25">
      <c r="A53" t="s">
        <v>180</v>
      </c>
      <c r="B53" s="13" t="s">
        <v>181</v>
      </c>
      <c r="C53" s="13"/>
      <c r="D53" s="13"/>
    </row>
    <row r="55" spans="1:4" x14ac:dyDescent="0.25">
      <c r="A55" s="10" t="s">
        <v>182</v>
      </c>
      <c r="B55" t="s">
        <v>183</v>
      </c>
      <c r="C55" t="s">
        <v>184</v>
      </c>
    </row>
    <row r="56" spans="1:4" x14ac:dyDescent="0.25">
      <c r="A56" t="s">
        <v>214</v>
      </c>
      <c r="B56" s="2">
        <v>750000</v>
      </c>
      <c r="C56" s="2">
        <v>1500000</v>
      </c>
    </row>
    <row r="57" spans="1:4" x14ac:dyDescent="0.25">
      <c r="A57" t="s">
        <v>185</v>
      </c>
      <c r="B57" s="2">
        <v>150</v>
      </c>
      <c r="C57" s="2">
        <v>300</v>
      </c>
    </row>
    <row r="58" spans="1:4" x14ac:dyDescent="0.25">
      <c r="A58" t="s">
        <v>186</v>
      </c>
      <c r="B58" s="2">
        <v>125</v>
      </c>
      <c r="C58" s="2">
        <v>250</v>
      </c>
    </row>
    <row r="59" spans="1:4" x14ac:dyDescent="0.25">
      <c r="B59" s="2"/>
      <c r="C59" s="2"/>
    </row>
    <row r="60" spans="1:4" x14ac:dyDescent="0.25">
      <c r="A60" s="10" t="s">
        <v>187</v>
      </c>
      <c r="B60" s="2" t="s">
        <v>141</v>
      </c>
      <c r="C60" s="2" t="s">
        <v>142</v>
      </c>
    </row>
    <row r="61" spans="1:4" x14ac:dyDescent="0.25">
      <c r="A61" t="s">
        <v>188</v>
      </c>
      <c r="B61" s="2">
        <v>75000</v>
      </c>
      <c r="C61" s="2">
        <v>175000</v>
      </c>
    </row>
    <row r="62" spans="1:4" x14ac:dyDescent="0.25">
      <c r="A62" t="s">
        <v>189</v>
      </c>
      <c r="B62" s="2">
        <v>50000</v>
      </c>
      <c r="C62" s="2">
        <v>125000</v>
      </c>
    </row>
    <row r="63" spans="1:4" x14ac:dyDescent="0.25">
      <c r="A63" t="s">
        <v>190</v>
      </c>
      <c r="B63" s="2">
        <v>390000</v>
      </c>
      <c r="C63" s="2">
        <v>610000</v>
      </c>
    </row>
    <row r="64" spans="1:4" x14ac:dyDescent="0.25">
      <c r="A64" t="s">
        <v>191</v>
      </c>
      <c r="B64" s="2">
        <v>55000</v>
      </c>
      <c r="C64" s="2">
        <v>110000</v>
      </c>
    </row>
    <row r="65" spans="1:5" x14ac:dyDescent="0.25">
      <c r="A65" t="s">
        <v>192</v>
      </c>
      <c r="B65" s="2">
        <v>90000</v>
      </c>
      <c r="C65" s="2">
        <v>225000</v>
      </c>
    </row>
    <row r="66" spans="1:5" x14ac:dyDescent="0.25">
      <c r="A66" t="s">
        <v>168</v>
      </c>
      <c r="B66" s="2">
        <v>30000</v>
      </c>
      <c r="C66" s="2">
        <v>100000</v>
      </c>
    </row>
    <row r="67" spans="1:5" x14ac:dyDescent="0.25">
      <c r="A67" t="s">
        <v>193</v>
      </c>
      <c r="B67" s="2">
        <v>60000</v>
      </c>
      <c r="C67" s="2">
        <v>155000</v>
      </c>
    </row>
    <row r="68" spans="1:5" x14ac:dyDescent="0.25">
      <c r="A68" s="15" t="s">
        <v>194</v>
      </c>
      <c r="B68" s="14">
        <f>SUM(B61:B67)</f>
        <v>750000</v>
      </c>
      <c r="C68" s="14">
        <f>SUM(C61:C67)</f>
        <v>1500000</v>
      </c>
    </row>
    <row r="70" spans="1:5" x14ac:dyDescent="0.25">
      <c r="A70" s="10" t="s">
        <v>195</v>
      </c>
    </row>
    <row r="71" spans="1:5" x14ac:dyDescent="0.25">
      <c r="A71" t="s">
        <v>196</v>
      </c>
      <c r="B71" s="11" t="s">
        <v>211</v>
      </c>
      <c r="C71" s="16" t="s">
        <v>215</v>
      </c>
      <c r="D71" s="16"/>
      <c r="E71" s="16"/>
    </row>
    <row r="72" spans="1:5" x14ac:dyDescent="0.25">
      <c r="A72" t="s">
        <v>197</v>
      </c>
      <c r="B72" s="11" t="s">
        <v>211</v>
      </c>
      <c r="C72" s="16" t="s">
        <v>215</v>
      </c>
      <c r="D72" s="16"/>
      <c r="E72" s="16"/>
    </row>
    <row r="73" spans="1:5" x14ac:dyDescent="0.25">
      <c r="A73" t="s">
        <v>198</v>
      </c>
      <c r="B73" s="11" t="s">
        <v>211</v>
      </c>
      <c r="C73" s="16" t="s">
        <v>215</v>
      </c>
      <c r="D73" s="16"/>
      <c r="E73" s="16"/>
    </row>
    <row r="74" spans="1:5" x14ac:dyDescent="0.25">
      <c r="A74" t="s">
        <v>199</v>
      </c>
      <c r="B74" s="11" t="s">
        <v>211</v>
      </c>
      <c r="C74" s="16" t="s">
        <v>215</v>
      </c>
      <c r="D74" s="16"/>
      <c r="E74" s="16"/>
    </row>
    <row r="75" spans="1:5" x14ac:dyDescent="0.25">
      <c r="A75" t="s">
        <v>200</v>
      </c>
      <c r="B75" s="11" t="s">
        <v>222</v>
      </c>
      <c r="C75" s="16" t="s">
        <v>216</v>
      </c>
      <c r="D75" s="16"/>
      <c r="E75" s="16"/>
    </row>
    <row r="76" spans="1:5" x14ac:dyDescent="0.25">
      <c r="A76" t="s">
        <v>201</v>
      </c>
      <c r="B76" s="11" t="s">
        <v>211</v>
      </c>
      <c r="C76" s="16" t="s">
        <v>217</v>
      </c>
      <c r="D76" s="16"/>
      <c r="E76" s="16"/>
    </row>
    <row r="77" spans="1:5" x14ac:dyDescent="0.25">
      <c r="A77" t="s">
        <v>202</v>
      </c>
      <c r="B77" s="11" t="s">
        <v>211</v>
      </c>
      <c r="C77" s="16" t="s">
        <v>218</v>
      </c>
      <c r="D77" s="16"/>
      <c r="E77" s="16"/>
    </row>
    <row r="78" spans="1:5" x14ac:dyDescent="0.25">
      <c r="A78" t="s">
        <v>203</v>
      </c>
      <c r="B78" s="11" t="s">
        <v>211</v>
      </c>
      <c r="C78" s="16" t="s">
        <v>219</v>
      </c>
      <c r="D78" s="16"/>
      <c r="E78" s="16"/>
    </row>
    <row r="80" spans="1:5" x14ac:dyDescent="0.25">
      <c r="A80" s="10" t="s">
        <v>204</v>
      </c>
    </row>
    <row r="81" spans="1:5" x14ac:dyDescent="0.25">
      <c r="A81" t="s">
        <v>205</v>
      </c>
      <c r="B81" s="11" t="s">
        <v>211</v>
      </c>
      <c r="C81" s="16" t="s">
        <v>220</v>
      </c>
      <c r="D81" s="16"/>
      <c r="E81" s="16"/>
    </row>
    <row r="82" spans="1:5" x14ac:dyDescent="0.25">
      <c r="A82" t="s">
        <v>206</v>
      </c>
      <c r="B82" s="11" t="s">
        <v>222</v>
      </c>
    </row>
    <row r="83" spans="1:5" x14ac:dyDescent="0.25">
      <c r="A83" t="s">
        <v>207</v>
      </c>
      <c r="B83" s="11" t="s">
        <v>222</v>
      </c>
    </row>
    <row r="84" spans="1:5" x14ac:dyDescent="0.25">
      <c r="A84" t="s">
        <v>208</v>
      </c>
      <c r="B84" s="11" t="s">
        <v>222</v>
      </c>
    </row>
    <row r="85" spans="1:5" x14ac:dyDescent="0.25">
      <c r="A85" t="s">
        <v>209</v>
      </c>
      <c r="B85" s="11" t="s">
        <v>222</v>
      </c>
    </row>
    <row r="86" spans="1:5" x14ac:dyDescent="0.25">
      <c r="A86" t="s">
        <v>210</v>
      </c>
      <c r="B86" s="11" t="s">
        <v>211</v>
      </c>
      <c r="C86" t="s">
        <v>221</v>
      </c>
    </row>
  </sheetData>
  <mergeCells count="12">
    <mergeCell ref="B2:D2"/>
    <mergeCell ref="B3:D3"/>
    <mergeCell ref="B53:D53"/>
    <mergeCell ref="C81:E81"/>
    <mergeCell ref="C71:E71"/>
    <mergeCell ref="C72:E72"/>
    <mergeCell ref="C73:E73"/>
    <mergeCell ref="C74:E74"/>
    <mergeCell ref="C75:E75"/>
    <mergeCell ref="C76:E76"/>
    <mergeCell ref="C77:E77"/>
    <mergeCell ref="C78:E7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2026-05-11T19:57:40Z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