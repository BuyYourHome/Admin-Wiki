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400" documentId="13_ncr:1_{0C20EBD6-E2BD-404C-B47C-BDA54182D35E}" xr6:coauthVersionLast="47" xr6:coauthVersionMax="47" xr10:uidLastSave="{7B85576E-7B93-4ACF-88B0-07F099B7CD5C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Assumptions!$F$11</definedName>
    <definedName name="CoLivingSuiteRentLow">Assumptions!$F$9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Assumptions!$E$11</definedName>
    <definedName name="PremiumSuiteRentLow">Assumptions!$E$9</definedName>
    <definedName name="PremiumSuiteRentMedium">Assumptions!$E$10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HighEffectiveYear">Assumptions!$H$11</definedName>
    <definedName name="RentScenarioHighMonthlyGross">Assumptions!$G$11</definedName>
    <definedName name="RentScenarioLowEffectiveYear">Assumptions!$H$9</definedName>
    <definedName name="RentScenarioLowMonthlyGross">Assumptions!$G$9</definedName>
    <definedName name="RentScenarioMediumEffectiveYear">Assumptions!$H$10</definedName>
    <definedName name="RentScenarioMediumMonthlyGross">Assumptions!$G$10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3" l="1"/>
  <c r="P22" i="3"/>
  <c r="D22" i="3"/>
  <c r="B22" i="3"/>
  <c r="B21" i="3"/>
  <c r="B19" i="3"/>
  <c r="C4" i="2"/>
  <c r="G11" i="1"/>
  <c r="C12" i="2" s="1"/>
  <c r="G10" i="1"/>
  <c r="C6" i="2" s="1"/>
  <c r="G9" i="1"/>
  <c r="C5" i="2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D19" i="3" l="1"/>
  <c r="C11" i="2"/>
  <c r="C8" i="2"/>
  <c r="D8" i="2" s="1"/>
  <c r="C10" i="2"/>
  <c r="C9" i="2"/>
  <c r="C7" i="2"/>
  <c r="D7" i="2" s="1"/>
  <c r="C14" i="2"/>
  <c r="D14" i="2" s="1"/>
  <c r="C13" i="2"/>
  <c r="B17" i="1"/>
  <c r="B15" i="7" s="1"/>
  <c r="N22" i="3" s="1"/>
  <c r="D12" i="2"/>
  <c r="D6" i="2"/>
  <c r="C27" i="6"/>
  <c r="C8" i="6" s="1"/>
  <c r="B27" i="6"/>
  <c r="B8" i="6" s="1"/>
  <c r="B10" i="6" s="1"/>
  <c r="S4" i="3"/>
  <c r="P4" i="3"/>
  <c r="K4" i="3"/>
  <c r="I4" i="3"/>
  <c r="H4" i="3"/>
  <c r="B28" i="1"/>
  <c r="G5" i="2" s="1"/>
  <c r="C9" i="6"/>
  <c r="C10" i="6" s="1"/>
  <c r="B9" i="6"/>
  <c r="L22" i="3" l="1"/>
  <c r="M22" i="3"/>
  <c r="J22" i="3"/>
  <c r="K22" i="3"/>
  <c r="H22" i="3"/>
  <c r="I22" i="3"/>
  <c r="F22" i="3"/>
  <c r="G22" i="3"/>
  <c r="B36" i="7"/>
  <c r="E22" i="3"/>
  <c r="D21" i="3"/>
  <c r="B10" i="7"/>
  <c r="G10" i="6"/>
  <c r="B29" i="6" s="1"/>
  <c r="K4" i="2"/>
  <c r="D10" i="2"/>
  <c r="D13" i="2"/>
  <c r="D9" i="2"/>
  <c r="D11" i="2"/>
  <c r="D5" i="2"/>
  <c r="R22" i="3" l="1"/>
  <c r="O22" i="3"/>
  <c r="B6" i="7"/>
  <c r="B7" i="7" s="1"/>
  <c r="B15" i="1" s="1"/>
  <c r="E12" i="2" s="1"/>
  <c r="F12" i="2" s="1"/>
  <c r="N12" i="2" s="1"/>
  <c r="B41" i="1"/>
  <c r="B15" i="6"/>
  <c r="B14" i="6"/>
  <c r="E8" i="2" l="1"/>
  <c r="F8" i="2" s="1"/>
  <c r="N8" i="2" s="1"/>
  <c r="E10" i="2"/>
  <c r="F10" i="2" s="1"/>
  <c r="N10" i="2" s="1"/>
  <c r="E9" i="2"/>
  <c r="F9" i="2" s="1"/>
  <c r="N9" i="2" s="1"/>
  <c r="E7" i="2"/>
  <c r="F7" i="2" s="1"/>
  <c r="N7" i="2" s="1"/>
  <c r="E5" i="2"/>
  <c r="F5" i="2" s="1"/>
  <c r="H5" i="2" s="1"/>
  <c r="E4" i="2"/>
  <c r="F4" i="2" s="1"/>
  <c r="H4" i="2" s="1"/>
  <c r="E11" i="2"/>
  <c r="F11" i="2" s="1"/>
  <c r="N11" i="2" s="1"/>
  <c r="E14" i="2"/>
  <c r="F14" i="2" s="1"/>
  <c r="N14" i="2" s="1"/>
  <c r="I14" i="2" s="1"/>
  <c r="E13" i="2"/>
  <c r="F13" i="2" s="1"/>
  <c r="N13" i="2" s="1"/>
  <c r="E6" i="2"/>
  <c r="F6" i="2" s="1"/>
  <c r="N6" i="2" s="1"/>
  <c r="L4" i="3"/>
  <c r="N4" i="3" s="1"/>
  <c r="B20" i="3"/>
  <c r="B30" i="6"/>
  <c r="B31" i="6" s="1"/>
  <c r="B5" i="4"/>
  <c r="H5" i="4" s="1"/>
  <c r="B30" i="1"/>
  <c r="D20" i="3" l="1"/>
  <c r="J4" i="2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B32" i="1"/>
  <c r="B31" i="1"/>
  <c r="B4" i="3" l="1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N5" i="3"/>
  <c r="L6" i="3" s="1"/>
  <c r="O5" i="3"/>
  <c r="P5" i="3" s="1"/>
  <c r="J5" i="3"/>
  <c r="I5" i="3"/>
  <c r="F6" i="3" s="1"/>
  <c r="E21" i="3" l="1"/>
  <c r="E20" i="3"/>
  <c r="I5" i="4"/>
  <c r="I6" i="4"/>
  <c r="K5" i="3"/>
  <c r="E19" i="3" s="1"/>
  <c r="D6" i="3"/>
  <c r="K5" i="2" l="1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F21" i="3" s="1"/>
  <c r="I6" i="3"/>
  <c r="F7" i="3" s="1"/>
  <c r="D7" i="3" s="1"/>
  <c r="J6" i="4" l="1"/>
  <c r="N6" i="3"/>
  <c r="L7" i="3" s="1"/>
  <c r="O6" i="3"/>
  <c r="P6" i="3" s="1"/>
  <c r="F20" i="3" s="1"/>
  <c r="J6" i="3"/>
  <c r="K6" i="3" s="1"/>
  <c r="F19" i="3" s="1"/>
  <c r="K6" i="2" l="1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l="1"/>
  <c r="G21" i="3"/>
  <c r="O7" i="3"/>
  <c r="P7" i="3" s="1"/>
  <c r="N7" i="3"/>
  <c r="L8" i="3" s="1"/>
  <c r="J7" i="3"/>
  <c r="K7" i="3" s="1"/>
  <c r="K5" i="4" l="1"/>
  <c r="G20" i="3"/>
  <c r="G19" i="3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H21" i="3" s="1"/>
  <c r="O8" i="3" l="1"/>
  <c r="P8" i="3" s="1"/>
  <c r="J8" i="3"/>
  <c r="K8" i="3" s="1"/>
  <c r="N8" i="3"/>
  <c r="L9" i="3" s="1"/>
  <c r="L6" i="4"/>
  <c r="H20" i="3" l="1"/>
  <c r="L4" i="4"/>
  <c r="H19" i="3"/>
  <c r="K8" i="2"/>
  <c r="L8" i="2" s="1"/>
  <c r="J9" i="2" s="1"/>
  <c r="B9" i="3" s="1"/>
  <c r="E9" i="3" s="1"/>
  <c r="H9" i="3" s="1"/>
  <c r="C10" i="3" s="1"/>
  <c r="L5" i="4"/>
  <c r="G9" i="3" l="1"/>
  <c r="I9" i="3" s="1"/>
  <c r="F10" i="3" s="1"/>
  <c r="D10" i="3" s="1"/>
  <c r="M9" i="3" l="1"/>
  <c r="N9" i="3" s="1"/>
  <c r="L10" i="3" s="1"/>
  <c r="R9" i="3" l="1"/>
  <c r="S9" i="3" s="1"/>
  <c r="J9" i="3"/>
  <c r="K9" i="3" s="1"/>
  <c r="I19" i="3" s="1"/>
  <c r="O9" i="3"/>
  <c r="P9" i="3" s="1"/>
  <c r="I21" i="3" l="1"/>
  <c r="I20" i="3"/>
  <c r="M5" i="4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R10" i="3"/>
  <c r="S10" i="3" s="1"/>
  <c r="O10" i="3"/>
  <c r="P10" i="3" s="1"/>
  <c r="J20" i="3" s="1"/>
  <c r="J21" i="3" l="1"/>
  <c r="J19" i="3"/>
  <c r="N4" i="4"/>
  <c r="K10" i="2"/>
  <c r="N6" i="4"/>
  <c r="N5" i="4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R11" i="3"/>
  <c r="S11" i="3" s="1"/>
  <c r="K21" i="3" s="1"/>
  <c r="J11" i="3"/>
  <c r="K11" i="3" s="1"/>
  <c r="K19" i="3" s="1"/>
  <c r="K20" i="3" l="1"/>
  <c r="K11" i="2"/>
  <c r="L11" i="2" s="1"/>
  <c r="J12" i="2" s="1"/>
  <c r="O5" i="4"/>
  <c r="O4" i="4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L19" i="3" s="1"/>
  <c r="O12" i="3"/>
  <c r="P12" i="3" s="1"/>
  <c r="R12" i="3"/>
  <c r="S12" i="3" s="1"/>
  <c r="L21" i="3" l="1"/>
  <c r="L20" i="3"/>
  <c r="K12" i="2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M21" i="3" s="1"/>
  <c r="J13" i="3"/>
  <c r="K13" i="3" s="1"/>
  <c r="M19" i="3" s="1"/>
  <c r="O13" i="3"/>
  <c r="P13" i="3" s="1"/>
  <c r="M20" i="3" s="1"/>
  <c r="N13" i="3"/>
  <c r="L14" i="3" s="1"/>
  <c r="Q4" i="4" l="1"/>
  <c r="K13" i="2"/>
  <c r="Q5" i="4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N19" i="3" s="1"/>
  <c r="O14" i="3"/>
  <c r="P14" i="3" s="1"/>
  <c r="N20" i="3" s="1"/>
  <c r="R14" i="3"/>
  <c r="S14" i="3" s="1"/>
  <c r="O20" i="3" l="1"/>
  <c r="P20" i="3" s="1"/>
  <c r="R20" i="3"/>
  <c r="Q20" i="3"/>
  <c r="O19" i="3"/>
  <c r="P19" i="3" s="1"/>
  <c r="R19" i="3"/>
  <c r="C6" i="4"/>
  <c r="D6" i="4" s="1"/>
  <c r="F6" i="4" s="1"/>
  <c r="N21" i="3"/>
  <c r="K14" i="2"/>
  <c r="L14" i="2" s="1"/>
  <c r="C4" i="4"/>
  <c r="E4" i="4" s="1"/>
  <c r="R4" i="4"/>
  <c r="G4" i="4" s="1"/>
  <c r="R5" i="4"/>
  <c r="G5" i="4" s="1"/>
  <c r="C5" i="4"/>
  <c r="E5" i="4" s="1"/>
  <c r="R6" i="4"/>
  <c r="G6" i="4" s="1"/>
  <c r="S20" i="3" l="1"/>
  <c r="Q19" i="3"/>
  <c r="S19" i="3" s="1"/>
  <c r="O21" i="3"/>
  <c r="R21" i="3"/>
  <c r="E6" i="4"/>
  <c r="D4" i="4"/>
  <c r="F4" i="4" s="1"/>
  <c r="D5" i="4"/>
  <c r="F5" i="4" s="1"/>
  <c r="C19" i="3"/>
  <c r="C20" i="3"/>
  <c r="C21" i="3"/>
  <c r="C22" i="3"/>
  <c r="Q21" i="3" l="1"/>
  <c r="P21" i="3"/>
  <c r="S21" i="3" s="1"/>
</calcChain>
</file>

<file path=xl/sharedStrings.xml><?xml version="1.0" encoding="utf-8"?>
<sst xmlns="http://schemas.openxmlformats.org/spreadsheetml/2006/main" count="381" uniqueCount="319">
  <si>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</si>
  <si>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</si>
  <si>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</si>
  <si>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</si>
  <si>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</si>
  <si>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</si>
  <si>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</si>
  <si>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</si>
  <si>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</si>
  <si>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</si>
  <si>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</si>
  <si>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</si>
  <si>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</si>
  <si>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</si>
  <si>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</si>
  <si>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</si>
  <si>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</si>
  <si>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</si>
  <si>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</si>
  <si>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</si>
  <si>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</si>
  <si>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</si>
  <si>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</si>
  <si>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</si>
  <si>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</si>
  <si>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</si>
  <si>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</si>
  <si>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</si>
  <si>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</si>
  <si>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</si>
  <si>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</si>
  <si>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</si>
  <si>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</si>
  <si>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</si>
  <si>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</si>
  <si>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</si>
  <si>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</si>
  <si>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</si>
  <si>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</si>
  <si>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</si>
  <si>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</si>
  <si>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</si>
  <si>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</si>
  <si>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</si>
  <si>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</si>
  <si>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</si>
  <si>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</si>
  <si>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</si>
  <si>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</si>
  <si>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</si>
  <si>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</si>
  <si>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</si>
  <si>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</si>
  <si>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</si>
  <si>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</si>
  <si>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</si>
  <si>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</si>
  <si>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</si>
  <si>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</si>
  <si>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</si>
  <si>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</si>
  <si>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</si>
  <si>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</si>
  <si>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</si>
  <si>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</si>
  <si>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</si>
  <si>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</si>
  <si>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</si>
  <si>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</si>
  <si>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</si>
  <si>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</si>
  <si>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</si>
  <si>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</si>
  <si>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</si>
  <si>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</si>
  <si>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</si>
  <si>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</si>
  <si>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</si>
  <si>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</si>
  <si>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</si>
  <si>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</si>
  <si>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</si>
  <si>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</si>
  <si>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</si>
  <si>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</si>
  <si>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</si>
  <si>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</si>
  <si>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</si>
  <si>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</si>
  <si>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</si>
  <si>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</si>
  <si>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</si>
  <si>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</si>
  <si>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</si>
  <si>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</si>
  <si>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</si>
  <si>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</si>
  <si>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</si>
  <si>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</si>
  <si>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</si>
  <si>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</si>
  <si>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</si>
  <si>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</si>
  <si>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</si>
  <si>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</si>
  <si>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</si>
  <si>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</si>
  <si>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</si>
  <si>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</si>
  <si>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</si>
  <si>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</si>
  <si>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</si>
  <si>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</si>
  <si>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</si>
  <si>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</si>
  <si>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</si>
  <si>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</si>
  <si>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</si>
  <si>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</si>
  <si>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</si>
  <si>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</si>
  <si>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</si>
  <si>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</si>
  <si>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</si>
  <si>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</si>
  <si>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</si>
  <si>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</si>
  <si>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</si>
  <si>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</si>
  <si>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</si>
  <si>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</si>
  <si>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</si>
  <si>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</si>
  <si>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</si>
  <si>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</si>
  <si>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</si>
  <si>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</si>
  <si>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</si>
  <si>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</si>
  <si>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</si>
  <si>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</si>
  <si>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</si>
  <si>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</si>
  <si>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</si>
  <si>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</si>
  <si>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</si>
  <si>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</si>
  <si>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</si>
  <si>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</si>
  <si>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</si>
  <si>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</si>
  <si>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</si>
  <si>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</si>
  <si>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</si>
  <si>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</si>
  <si>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</si>
  <si>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</si>
  <si>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</si>
  <si>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</si>
  <si>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</si>
  <si>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</si>
  <si>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</si>
  <si>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</si>
  <si>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</si>
  <si>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</si>
  <si>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</si>
  <si>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</si>
  <si>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</si>
  <si>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</si>
  <si>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</si>
  <si>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</si>
  <si>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</si>
  <si>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</si>
  <si>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</si>
  <si>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</si>
  <si>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</si>
  <si>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</si>
  <si>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</si>
  <si>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</si>
  <si>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</si>
  <si>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</si>
  <si>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</si>
  <si>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</si>
  <si>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</si>
  <si>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</si>
  <si>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</si>
  <si>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</si>
  <si>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</si>
  <si>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</si>
  <si>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</si>
  <si>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</si>
  <si>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</si>
  <si>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</si>
  <si>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</si>
  <si>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</si>
  <si>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</si>
  <si>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</si>
  <si>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</si>
  <si>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</si>
  <si>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</si>
  <si>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</si>
  <si>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</si>
  <si>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</si>
  <si>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</si>
  <si>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</si>
  <si>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</si>
  <si>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</si>
  <si>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</si>
  <si>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</si>
  <si>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</si>
  <si>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</si>
  <si>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</si>
  <si>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</si>
  <si>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</si>
  <si>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</si>
  <si>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</si>
  <si>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</si>
  <si>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</si>
  <si>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</si>
  <si>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</si>
  <si>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</si>
  <si>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</si>
  <si>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</si>
  <si>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</si>
  <si>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</si>
  <si>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</si>
  <si>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</si>
  <si>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</si>
  <si>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</si>
  <si>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</si>
  <si>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</si>
  <si>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</si>
  <si>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</si>
  <si>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</si>
  <si>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</si>
  <si>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</si>
  <si>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</si>
  <si>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</si>
  <si>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</si>
  <si>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</si>
  <si>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</si>
  <si>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</si>
  <si>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</si>
  <si>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</si>
  <si>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</si>
  <si>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</si>
  <si>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</si>
  <si>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</si>
  <si>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</si>
  <si>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</si>
  <si>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</si>
  <si>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</si>
  <si>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</si>
  <si>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</si>
  <si>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</si>
  <si>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</si>
  <si>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</si>
  <si>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</si>
  <si>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</si>
  <si>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</si>
  <si>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</si>
  <si>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</si>
  <si>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</si>
  <si>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</si>
  <si>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</si>
  <si>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</si>
  <si>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</si>
  <si>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</si>
  <si>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</si>
  <si>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</si>
  <si>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</si>
  <si>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</si>
  <si>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</si>
  <si>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</si>
  <si>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</si>
  <si>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</si>
  <si>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</si>
  <si>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</si>
  <si>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</si>
  <si>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</si>
  <si>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</si>
  <si>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</si>
  <si>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</si>
  <si>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</si>
  <si>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</si>
  <si>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</si>
  <si>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</si>
  <si>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</si>
  <si>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</si>
  <si>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</si>
  <si>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</si>
  <si>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</si>
  <si>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</si>
  <si>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</si>
  <si>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</si>
  <si>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</si>
  <si>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</si>
  <si>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</si>
  <si>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</si>
  <si>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</si>
  <si>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</si>
  <si>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</si>
  <si>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</si>
  <si>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</si>
  <si>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</si>
  <si>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Scenario</t>
  </si>
  <si>
    <t>Premium Suite Rent</t>
  </si>
  <si>
    <t>Co-Living Suite Rent</t>
  </si>
  <si>
    <t>Monthly Gross Rent</t>
  </si>
  <si>
    <t>Model Timing</t>
  </si>
  <si>
    <t>Medium</t>
  </si>
  <si>
    <t>Mid/base reference; Annual Model uses scenario schedule at right</t>
  </si>
  <si>
    <t>Stabilization / Refi Monthly Gross Rent</t>
  </si>
  <si>
    <t>Effective Year</t>
  </si>
  <si>
    <t>Used from low effective year until next scenario begins</t>
  </si>
  <si>
    <t>Currently starts Year 2</t>
  </si>
  <si>
    <t>Currently starts Year 4 and beyond</t>
  </si>
  <si>
    <t>Calculated from rent scenario schedule and editable effective years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</si>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</sst>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3" fontId="0" fillId="4" borderId="0" xfId="0" applyNumberFormat="1" applyFill="1"/>
    <xf numFmtId="3" fontId="0" fillId="6" borderId="0" xfId="0" applyNumberFormat="1" applyFill="1"/>
    <xf numFmtId="3" fontId="0" fillId="5" borderId="0" xfId="0" applyNumberFormat="1" applyFill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3" fillId="0" borderId="12" xfId="0" applyNumberFormat="1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3" fillId="0" borderId="14" xfId="0" applyNumberFormat="1" applyFont="1" applyBorder="1" applyAlignment="1">
      <alignment horizontal="center"/>
    </xf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3" fontId="3" fillId="0" borderId="17" xfId="0" applyNumberFormat="1" applyFont="1" applyBorder="1" applyAlignment="1">
      <alignment horizontal="center"/>
    </xf>
    <xf numFmtId="3" fontId="0" fillId="4" borderId="18" xfId="0" applyNumberFormat="1" applyFill="1" applyBorder="1"/>
    <xf numFmtId="3" fontId="0" fillId="6" borderId="18" xfId="0" applyNumberFormat="1" applyFill="1" applyBorder="1"/>
    <xf numFmtId="3" fontId="0" fillId="5" borderId="18" xfId="0" applyNumberFormat="1" applyFill="1" applyBorder="1"/>
    <xf numFmtId="3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4" dataDxfId="62" headerRowBorderDxfId="63" tableBorderDxfId="61">
  <autoFilter ref="A3:N14" xr:uid="{31008567-CFA1-42A9-9327-0B98502CA80D}"/>
  <tableColumns count="14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7">
      <calculatedColumnFormula>IF(A4=0,0,C4*IF(A4=1,LeaseUpOccupancy,StabilizedOccupancy))</calculatedColumnFormula>
    </tableColumn>
    <tableColumn id="5" xr3:uid="{B76742F3-2204-4523-9F15-8E1C72B7BD6E}" name="Operating Expenses" dataDxfId="56">
      <calculatedColumnFormula>D4*OperatingExpenseRatio</calculatedColumnFormula>
    </tableColumn>
    <tableColumn id="6" xr3:uid="{3F74AC57-500F-402C-9765-78D18626B1BE}" name="NOI" dataDxfId="55">
      <calculatedColumnFormula>D4-E4</calculatedColumnFormula>
    </tableColumn>
    <tableColumn id="7" xr3:uid="{56511279-406D-4252-A9A7-9170D8B87E55}" name="Debt Service" dataDxfId="54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3">
      <calculatedColumnFormula>AnnualModelTable[[#This Row],[NOI]]-AnnualModelTable[[#This Row],[Debt Service]]</calculatedColumnFormula>
    </tableColumn>
    <tableColumn id="9" xr3:uid="{AC4642EC-E8F2-497F-99FB-4D7BE675DEA1}" name="Net Refi/Sale Proceeds" dataDxfId="52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51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50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9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8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7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6" dataDxfId="44" headerRowBorderDxfId="45" tableBorderDxfId="43">
  <tableColumns count="19">
    <tableColumn id="1" xr3:uid="{963D327E-2263-47D8-80F9-5A28D9522E50}" name="Year" dataDxfId="42"/>
    <tableColumn id="2" xr3:uid="{DD4D5E48-A253-4495-BAA1-CD03E9DB3287}" name="Cash Available" dataDxfId="41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40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9">
      <calculatedColumnFormula>WaterfallTable[[#This Row],[A Beg. Capital]]*ClassAPreferredReturn</calculatedColumnFormula>
    </tableColumn>
    <tableColumn id="5" xr3:uid="{6DFBF4A6-C663-4C39-BE8E-9DCEE6178410}" name="A Pref Paid" dataDxfId="38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7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6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35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34">
      <calculatedColumnFormula>WaterfallTable[[#This Row],[A Beg. Capital]]-WaterfallTable[[#This Row],[A Capital Returned]]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32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31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9">
      <calculatedColumnFormula>WaterfallTable[[#This Row],[B Beg. Capital]]-WaterfallTable[[#This Row],[B Capital Returned]]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Distributions" dataDxfId="4"/>
    <tableColumn id="16" xr3:uid="{0A58F701-6416-4538-A6E5-4BF44C4993D5}" name="Equity Multiple" dataDxfId="3"/>
    <tableColumn id="17" xr3:uid="{AC84C97B-2616-4869-838B-9557C19186A7}" name="ROI %" dataDxfId="2"/>
    <tableColumn id="18" xr3:uid="{523BC2AE-FDEA-442A-A3C6-B94CA77050FC}" name="Total Return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selection activeCell="H22" sqref="H22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8.5703125" style="6" bestFit="1" customWidth="1"/>
    <col min="5" max="6" width="19" style="6" bestFit="1" customWidth="1"/>
    <col min="7" max="7" width="18.85546875" style="6" bestFit="1" customWidth="1"/>
    <col min="8" max="8" width="13.42578125" style="6" bestFit="1" customWidth="1"/>
    <col min="9" max="9" width="51.140625" style="6" bestFit="1" customWidth="1"/>
    <col min="10" max="16384" width="9.140625" style="6"/>
  </cols>
  <sheetData>
    <row r="1" spans="1:9" ht="18.75" x14ac:dyDescent="0.3">
      <c r="A1" s="20" t="s">
        <v>0</v>
      </c>
      <c r="B1" s="13"/>
      <c r="C1" s="18" t="s">
        <v>1</v>
      </c>
    </row>
    <row r="2" spans="1:9" x14ac:dyDescent="0.25">
      <c r="A2" s="13"/>
      <c r="B2" s="13"/>
      <c r="C2" s="13"/>
    </row>
    <row r="3" spans="1:9" x14ac:dyDescent="0.25">
      <c r="A3" s="21" t="s">
        <v>2</v>
      </c>
      <c r="B3" s="13"/>
      <c r="C3" s="13"/>
    </row>
    <row r="4" spans="1:9" x14ac:dyDescent="0.25">
      <c r="A4" s="13" t="s">
        <v>3</v>
      </c>
      <c r="B4" s="15">
        <v>2</v>
      </c>
      <c r="C4" s="18" t="s">
        <v>4</v>
      </c>
    </row>
    <row r="5" spans="1:9" x14ac:dyDescent="0.25">
      <c r="A5" s="13" t="s">
        <v>5</v>
      </c>
      <c r="B5" s="15">
        <v>10</v>
      </c>
      <c r="C5" s="18" t="s">
        <v>6</v>
      </c>
    </row>
    <row r="6" spans="1:9" x14ac:dyDescent="0.25">
      <c r="A6" s="13"/>
      <c r="B6" s="13"/>
      <c r="C6" s="13"/>
    </row>
    <row r="7" spans="1:9" x14ac:dyDescent="0.25">
      <c r="A7" s="21" t="s">
        <v>7</v>
      </c>
      <c r="B7" s="13"/>
      <c r="C7" s="13"/>
      <c r="D7" s="71" t="s">
        <v>304</v>
      </c>
      <c r="E7" s="71"/>
      <c r="F7" s="71"/>
      <c r="G7" s="71"/>
      <c r="H7" s="71"/>
      <c r="I7" s="71"/>
    </row>
    <row r="8" spans="1:9" x14ac:dyDescent="0.25">
      <c r="A8" s="13" t="s">
        <v>8</v>
      </c>
      <c r="B8" s="15">
        <v>4</v>
      </c>
      <c r="C8" s="18" t="s">
        <v>9</v>
      </c>
      <c r="D8" s="42" t="s">
        <v>305</v>
      </c>
      <c r="E8" s="42" t="s">
        <v>306</v>
      </c>
      <c r="F8" s="42" t="s">
        <v>307</v>
      </c>
      <c r="G8" s="42" t="s">
        <v>308</v>
      </c>
      <c r="H8" s="42" t="s">
        <v>313</v>
      </c>
      <c r="I8" s="42" t="s">
        <v>309</v>
      </c>
    </row>
    <row r="9" spans="1:9" x14ac:dyDescent="0.25">
      <c r="A9" s="13" t="s">
        <v>10</v>
      </c>
      <c r="B9" s="13">
        <v>1600</v>
      </c>
      <c r="C9" s="18" t="s">
        <v>311</v>
      </c>
      <c r="D9" s="43" t="s">
        <v>111</v>
      </c>
      <c r="E9" s="44">
        <v>1350</v>
      </c>
      <c r="F9" s="44">
        <v>850</v>
      </c>
      <c r="G9" s="44">
        <f>PremiumSuites*E9+CoLivingSuites*F9+OtherMonthlyIncome</f>
        <v>8800</v>
      </c>
      <c r="H9" s="44">
        <v>1</v>
      </c>
      <c r="I9" s="43" t="s">
        <v>314</v>
      </c>
    </row>
    <row r="10" spans="1:9" x14ac:dyDescent="0.25">
      <c r="A10" s="13" t="s">
        <v>11</v>
      </c>
      <c r="B10" s="15">
        <v>4</v>
      </c>
      <c r="C10" s="18" t="s">
        <v>12</v>
      </c>
      <c r="D10" s="43" t="s">
        <v>310</v>
      </c>
      <c r="E10" s="44">
        <v>1600</v>
      </c>
      <c r="F10" s="44">
        <v>1100</v>
      </c>
      <c r="G10" s="44">
        <f>PremiumSuites*E10+CoLivingSuites*F10+OtherMonthlyIncome</f>
        <v>10800</v>
      </c>
      <c r="H10" s="44">
        <v>2</v>
      </c>
      <c r="I10" s="43" t="s">
        <v>315</v>
      </c>
    </row>
    <row r="11" spans="1:9" x14ac:dyDescent="0.25">
      <c r="A11" s="13" t="s">
        <v>13</v>
      </c>
      <c r="B11" s="13">
        <v>1100</v>
      </c>
      <c r="C11" s="18" t="s">
        <v>311</v>
      </c>
      <c r="D11" s="43" t="s">
        <v>124</v>
      </c>
      <c r="E11" s="44">
        <v>1750</v>
      </c>
      <c r="F11" s="44">
        <v>1250</v>
      </c>
      <c r="G11" s="44">
        <f>PremiumSuites*E11+CoLivingSuites*F11+OtherMonthlyIncome</f>
        <v>12000</v>
      </c>
      <c r="H11" s="44">
        <v>3</v>
      </c>
      <c r="I11" s="43" t="s">
        <v>316</v>
      </c>
    </row>
    <row r="12" spans="1:9" x14ac:dyDescent="0.25">
      <c r="A12" s="13" t="s">
        <v>14</v>
      </c>
      <c r="B12" s="13">
        <v>0</v>
      </c>
      <c r="C12" s="18" t="s">
        <v>15</v>
      </c>
    </row>
    <row r="13" spans="1:9" x14ac:dyDescent="0.25">
      <c r="A13" s="13" t="s">
        <v>16</v>
      </c>
      <c r="B13" s="22">
        <v>0.93</v>
      </c>
      <c r="C13" s="18" t="s">
        <v>17</v>
      </c>
    </row>
    <row r="14" spans="1:9" x14ac:dyDescent="0.25">
      <c r="A14" s="13" t="s">
        <v>18</v>
      </c>
      <c r="B14" s="22">
        <v>0.5</v>
      </c>
      <c r="C14" s="18" t="s">
        <v>19</v>
      </c>
    </row>
    <row r="15" spans="1:9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9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312</v>
      </c>
      <c r="B17" s="13">
        <f>IF(StabilizationRefiYear&gt;=_xlfn.SINGLE(RentScenarioHighEffectiveYear),RentScenarioHighMonthlyGross,IF(StabilizationRefiYear&gt;=_xlfn.SINGLE(RentScenarioMediumEffectiveYear),RentScenarioMediumMonthlyGross,IF(StabilizationRefiYear&gt;=_xlfn.SINGLE(RentScenarioLowEffectiveYear),RentScenarioLowMonthlyGross,0)))</f>
        <v>10800</v>
      </c>
      <c r="C17" s="18" t="s">
        <v>317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249</v>
      </c>
      <c r="B20" s="13">
        <v>119000</v>
      </c>
      <c r="C20" s="18" t="s">
        <v>250</v>
      </c>
    </row>
    <row r="21" spans="1:3" x14ac:dyDescent="0.25">
      <c r="A21" s="13" t="s">
        <v>251</v>
      </c>
      <c r="B21" s="24">
        <v>3.2500000000000001E-2</v>
      </c>
      <c r="C21" s="18" t="s">
        <v>252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253</v>
      </c>
    </row>
    <row r="25" spans="1:3" x14ac:dyDescent="0.25">
      <c r="A25" s="13" t="s">
        <v>258</v>
      </c>
      <c r="B25" s="13">
        <v>526</v>
      </c>
      <c r="C25" s="18" t="s">
        <v>259</v>
      </c>
    </row>
    <row r="26" spans="1:3" x14ac:dyDescent="0.25">
      <c r="A26" s="13" t="s">
        <v>260</v>
      </c>
      <c r="B26" s="13">
        <f>_xlfn.SINGLE(ExistingFirstMortgageMonthlyPI)*12</f>
        <v>6312</v>
      </c>
      <c r="C26" s="18" t="s">
        <v>261</v>
      </c>
    </row>
    <row r="27" spans="1:3" x14ac:dyDescent="0.25">
      <c r="A27" s="13" t="s">
        <v>254</v>
      </c>
      <c r="B27" s="13">
        <f>PrivateDebtPrincipal*PrivateDebtInterestRate</f>
        <v>7500</v>
      </c>
      <c r="C27" s="18" t="s">
        <v>255</v>
      </c>
    </row>
    <row r="28" spans="1:3" x14ac:dyDescent="0.25">
      <c r="A28" s="13" t="s">
        <v>256</v>
      </c>
      <c r="B28" s="7">
        <f>ExistingFirstMortgageAnnualPayment+PrivateDebtAnnualInterestPayment</f>
        <v>13812</v>
      </c>
      <c r="C28" s="18" t="s">
        <v>257</v>
      </c>
    </row>
    <row r="29" spans="1:3" x14ac:dyDescent="0.25">
      <c r="A29" s="13" t="s">
        <v>266</v>
      </c>
      <c r="B29" s="24">
        <v>0.7</v>
      </c>
      <c r="C29" s="18" t="s">
        <v>267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550863.0399999998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250863.0399999998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268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1">
        <v>0.4</v>
      </c>
      <c r="C43" s="18" t="s">
        <v>270</v>
      </c>
    </row>
    <row r="44" spans="1:3" x14ac:dyDescent="0.25">
      <c r="A44" s="13" t="s">
        <v>269</v>
      </c>
      <c r="B44" s="31">
        <f>(1-SponsorResidualShare)*(ClassACapital/(ClassACapital+ClassBCapital))</f>
        <v>0.20055710306406685</v>
      </c>
      <c r="C44" s="18" t="s">
        <v>271</v>
      </c>
    </row>
    <row r="45" spans="1:3" x14ac:dyDescent="0.25">
      <c r="A45" s="13" t="s">
        <v>52</v>
      </c>
      <c r="B45" s="31">
        <f>(1-SponsorResidualShare)*(ClassBCapital/(ClassACapital+ClassBCapital))</f>
        <v>0.39944289693593316</v>
      </c>
      <c r="C45" s="18" t="s">
        <v>272</v>
      </c>
    </row>
    <row r="46" spans="1:3" x14ac:dyDescent="0.25">
      <c r="A46" s="13" t="s">
        <v>293</v>
      </c>
      <c r="B46" s="13">
        <v>150000</v>
      </c>
      <c r="C46" s="13" t="s">
        <v>294</v>
      </c>
    </row>
    <row r="47" spans="1:3" x14ac:dyDescent="0.25">
      <c r="A47" s="13" t="s">
        <v>54</v>
      </c>
      <c r="B47" s="69" t="s">
        <v>55</v>
      </c>
      <c r="C47" s="70"/>
    </row>
  </sheetData>
  <mergeCells count="2">
    <mergeCell ref="B47:C47"/>
    <mergeCell ref="D7:I7"/>
  </mergeCells>
  <dataValidations count="1">
    <dataValidation type="whole" allowBlank="1" showInputMessage="1" showErrorMessage="1" promptTitle="Effective Year" prompt="Enter the model year when this rent scenario starts." sqref="H9:H11" xr:uid="{8E0B81AD-B180-45BB-A9AC-8386882674C9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C5" sqref="C5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72" t="s">
        <v>56</v>
      </c>
      <c r="B1" s="73"/>
      <c r="C1" s="7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57</v>
      </c>
      <c r="B3" s="26" t="s">
        <v>58</v>
      </c>
      <c r="C3" s="26" t="s">
        <v>59</v>
      </c>
      <c r="D3" s="26" t="s">
        <v>60</v>
      </c>
      <c r="E3" s="26" t="s">
        <v>61</v>
      </c>
      <c r="F3" s="26" t="s">
        <v>62</v>
      </c>
      <c r="G3" s="26" t="s">
        <v>63</v>
      </c>
      <c r="H3" s="26" t="s">
        <v>262</v>
      </c>
      <c r="I3" s="26" t="s">
        <v>275</v>
      </c>
      <c r="J3" s="26" t="s">
        <v>263</v>
      </c>
      <c r="K3" s="26" t="s">
        <v>264</v>
      </c>
      <c r="L3" s="26" t="s">
        <v>265</v>
      </c>
      <c r="M3" s="26" t="s">
        <v>64</v>
      </c>
      <c r="N3" s="26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23855.506864108764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23855.506864108764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23855.506864108764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23855.506864108764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23855.506864108764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23855.506864108764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23855.506864108764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23855.506864108764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1182531.3468641087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1182531.3468641087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E23" sqref="E23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10.7109375" style="6" bestFit="1" customWidth="1"/>
    <col min="4" max="4" width="8.28515625" style="6" bestFit="1" customWidth="1"/>
    <col min="5" max="5" width="10.7109375" style="6" bestFit="1" customWidth="1"/>
    <col min="6" max="6" width="7.5703125" style="6" bestFit="1" customWidth="1"/>
    <col min="7" max="7" width="9.28515625" style="6" bestFit="1" customWidth="1"/>
    <col min="8" max="8" width="12.28515625" style="6" customWidth="1"/>
    <col min="9" max="9" width="7.5703125" style="6" bestFit="1" customWidth="1"/>
    <col min="10" max="10" width="8.5703125" style="6" bestFit="1" customWidth="1"/>
    <col min="11" max="12" width="7.5703125" style="6" bestFit="1" customWidth="1"/>
    <col min="13" max="13" width="9.28515625" style="6" bestFit="1" customWidth="1"/>
    <col min="14" max="14" width="12.42578125" style="6" bestFit="1" customWidth="1"/>
    <col min="15" max="15" width="17.5703125" style="6" bestFit="1" customWidth="1"/>
    <col min="16" max="16" width="14.85546875" style="6" bestFit="1" customWidth="1"/>
    <col min="17" max="17" width="8.85546875" style="6" bestFit="1" customWidth="1"/>
    <col min="18" max="19" width="11.85546875" style="6" bestFit="1" customWidth="1"/>
    <col min="20" max="16384" width="9.140625" style="6"/>
  </cols>
  <sheetData>
    <row r="1" spans="1:19" ht="18.75" x14ac:dyDescent="0.3">
      <c r="A1" s="72" t="s">
        <v>71</v>
      </c>
      <c r="B1" s="73"/>
      <c r="C1" s="7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74" t="s">
        <v>274</v>
      </c>
      <c r="D2" s="75"/>
      <c r="E2" s="75"/>
      <c r="F2" s="75"/>
      <c r="G2" s="75"/>
      <c r="H2" s="75"/>
      <c r="I2" s="75"/>
      <c r="J2" s="25"/>
      <c r="K2" s="25"/>
      <c r="L2" s="76" t="s">
        <v>92</v>
      </c>
      <c r="M2" s="77"/>
      <c r="N2" s="77"/>
      <c r="O2" s="77"/>
      <c r="P2" s="77"/>
      <c r="Q2" s="78" t="s">
        <v>93</v>
      </c>
      <c r="R2" s="79"/>
      <c r="S2" s="79"/>
    </row>
    <row r="3" spans="1:19" s="23" customFormat="1" ht="30" x14ac:dyDescent="0.25">
      <c r="A3" s="28" t="s">
        <v>57</v>
      </c>
      <c r="B3" s="28" t="s">
        <v>72</v>
      </c>
      <c r="C3" s="29" t="s">
        <v>276</v>
      </c>
      <c r="D3" s="29" t="s">
        <v>277</v>
      </c>
      <c r="E3" s="29" t="s">
        <v>278</v>
      </c>
      <c r="F3" s="29" t="s">
        <v>279</v>
      </c>
      <c r="G3" s="29" t="s">
        <v>280</v>
      </c>
      <c r="H3" s="29" t="s">
        <v>281</v>
      </c>
      <c r="I3" s="29" t="s">
        <v>282</v>
      </c>
      <c r="J3" s="29" t="s">
        <v>283</v>
      </c>
      <c r="K3" s="29" t="s">
        <v>284</v>
      </c>
      <c r="L3" s="28" t="s">
        <v>285</v>
      </c>
      <c r="M3" s="28" t="s">
        <v>286</v>
      </c>
      <c r="N3" s="28" t="s">
        <v>287</v>
      </c>
      <c r="O3" s="28" t="s">
        <v>288</v>
      </c>
      <c r="P3" s="28" t="s">
        <v>289</v>
      </c>
      <c r="Q3" s="30" t="s">
        <v>296</v>
      </c>
      <c r="R3" s="30" t="s">
        <v>297</v>
      </c>
      <c r="S3" s="30" t="s">
        <v>290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597500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597500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17868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30132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17868</v>
      </c>
      <c r="L5" s="13">
        <f>IF(WaterfallTable[[#This Row],[Year]]=0,ClassBCapital,INDEX(WaterfallTable[B End Capital],MATCH(WaterfallTable[[#This Row],[Year]]-1,WaterfallTable[Year],0)))</f>
        <v>597500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597500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30132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54132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354132</v>
      </c>
      <c r="L6" s="13">
        <f>IF(WaterfallTable[[#This Row],[Year]]=0,ClassBCapital,INDEX(WaterfallTable[B End Capital],MATCH(WaterfallTable[[#This Row],[Year]]-1,WaterfallTable[Year],0)))</f>
        <v>597500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212551.34686410858</v>
      </c>
      <c r="N6" s="13">
        <f>WaterfallTable[[#This Row],[B Beg. Capital]]-WaterfallTable[[#This Row],[B Capital Returned]]</f>
        <v>384948.65313589142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212551.34686410858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23855.506864108764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384948.65313589142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7" s="13">
        <f>WaterfallTable[[#This Row],[B Beg. Capital]]-WaterfallTable[[#This Row],[B Capital Returned]]</f>
        <v>361093.14627178264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23855.506864108764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23855.506864108764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361093.14627178264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8" s="13">
        <f>WaterfallTable[[#This Row],[B Beg. Capital]]-WaterfallTable[[#This Row],[B Capital Returned]]</f>
        <v>337237.63940767385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23855.506864108764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23855.506864108764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337237.63940767385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9" s="13">
        <f>WaterfallTable[[#This Row],[B Beg. Capital]]-WaterfallTable[[#This Row],[B Capital Returned]]</f>
        <v>313382.13254356507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23855.506864108764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23855.506864108764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313382.13254356507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0" s="13">
        <f>WaterfallTable[[#This Row],[B Beg. Capital]]-WaterfallTable[[#This Row],[B Capital Returned]]</f>
        <v>289526.62567945628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23855.506864108764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23855.506864108764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289526.62567945628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1" s="13">
        <f>WaterfallTable[[#This Row],[B Beg. Capital]]-WaterfallTable[[#This Row],[B Capital Returned]]</f>
        <v>265671.11881534749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23855.506864108764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23855.506864108764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265671.11881534749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2" s="13">
        <f>WaterfallTable[[#This Row],[B Beg. Capital]]-WaterfallTable[[#This Row],[B Capital Returned]]</f>
        <v>241815.61195123874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23855.506864108764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23855.506864108764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241815.61195123874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3" s="13">
        <f>WaterfallTable[[#This Row],[B Beg. Capital]]-WaterfallTable[[#This Row],[B Capital Returned]]</f>
        <v>217960.10508712998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23855.506864108764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1182531.3468641087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193451.61394970046</v>
      </c>
      <c r="K14" s="13">
        <f>WaterfallTable[[#This Row],[A Pref Paid]]+WaterfallTable[[#This Row],[A Capital Returned]]+WaterfallTable[[#This Row],[A Residual]]</f>
        <v>193451.61394970046</v>
      </c>
      <c r="L14" s="13">
        <f>IF(WaterfallTable[[#This Row],[Year]]=0,ClassBCapital,INDEX(WaterfallTable[B End Capital],MATCH(WaterfallTable[[#This Row],[Year]]-1,WaterfallTable[Year],0)))</f>
        <v>217960.10508712998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217960.10508712998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385291.13111648679</v>
      </c>
      <c r="P14" s="13">
        <f>WaterfallTable[[#This Row],[B Capital Returned]]+WaterfallTable[[#This Row],[B Residual]]</f>
        <v>603251.23620361672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385828.49671079149</v>
      </c>
      <c r="S14" s="13">
        <f>WaterfallTable[[#This Row],[Property Payment]]+WaterfallTable[[#This Row],[Residual]]</f>
        <v>385828.49671079149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9" t="s">
        <v>73</v>
      </c>
      <c r="B18" s="55" t="s">
        <v>74</v>
      </c>
      <c r="C18" s="55" t="s">
        <v>79</v>
      </c>
      <c r="D18" s="55" t="s">
        <v>80</v>
      </c>
      <c r="E18" s="55" t="s">
        <v>81</v>
      </c>
      <c r="F18" s="55" t="s">
        <v>82</v>
      </c>
      <c r="G18" s="55" t="s">
        <v>83</v>
      </c>
      <c r="H18" s="55" t="s">
        <v>84</v>
      </c>
      <c r="I18" s="55" t="s">
        <v>85</v>
      </c>
      <c r="J18" s="55" t="s">
        <v>86</v>
      </c>
      <c r="K18" s="55" t="s">
        <v>87</v>
      </c>
      <c r="L18" s="55" t="s">
        <v>88</v>
      </c>
      <c r="M18" s="55" t="s">
        <v>89</v>
      </c>
      <c r="N18" s="55" t="s">
        <v>90</v>
      </c>
      <c r="O18" s="55" t="s">
        <v>75</v>
      </c>
      <c r="P18" s="55" t="s">
        <v>77</v>
      </c>
      <c r="Q18" s="55" t="s">
        <v>78</v>
      </c>
      <c r="R18" s="64" t="s">
        <v>298</v>
      </c>
      <c r="S18" s="45" t="s">
        <v>298</v>
      </c>
    </row>
    <row r="19" spans="1:19" x14ac:dyDescent="0.25">
      <c r="A19" s="60" t="s">
        <v>91</v>
      </c>
      <c r="B19" s="46">
        <f>ClassACapital</f>
        <v>300000</v>
      </c>
      <c r="C19" s="47">
        <f>IFERROR(IRR(ReturnsTable[[#This Row],[Year 0]:[Year 10]]),0)</f>
        <v>0.18869764444923476</v>
      </c>
      <c r="D19" s="46">
        <f>-ReturnsTable[[#This Row],[Capital / Basis]]</f>
        <v>-300000</v>
      </c>
      <c r="E19" s="46">
        <f>INDEX(WaterfallTable[A Total Dist.],MATCH(1,WaterfallTable[Year],0))</f>
        <v>17868</v>
      </c>
      <c r="F19" s="46">
        <f>INDEX(WaterfallTable[A Total Dist.],MATCH(2,WaterfallTable[Year],0))</f>
        <v>354132</v>
      </c>
      <c r="G19" s="46">
        <f>INDEX(WaterfallTable[A Total Dist.],MATCH(3,WaterfallTable[Year],0))</f>
        <v>0</v>
      </c>
      <c r="H19" s="46">
        <f>INDEX(WaterfallTable[A Total Dist.],MATCH(4,WaterfallTable[Year],0))</f>
        <v>0</v>
      </c>
      <c r="I19" s="46">
        <f>INDEX(WaterfallTable[A Total Dist.],MATCH(5,WaterfallTable[Year],0))</f>
        <v>0</v>
      </c>
      <c r="J19" s="46">
        <f>INDEX(WaterfallTable[A Total Dist.],MATCH(6,WaterfallTable[Year],0))</f>
        <v>0</v>
      </c>
      <c r="K19" s="46">
        <f>INDEX(WaterfallTable[A Total Dist.],MATCH(7,WaterfallTable[Year],0))</f>
        <v>0</v>
      </c>
      <c r="L19" s="46">
        <f>INDEX(WaterfallTable[A Total Dist.],MATCH(8,WaterfallTable[Year],0))</f>
        <v>0</v>
      </c>
      <c r="M19" s="46">
        <f>INDEX(WaterfallTable[A Total Dist.],MATCH(9,WaterfallTable[Year],0))</f>
        <v>0</v>
      </c>
      <c r="N19" s="46">
        <f>INDEX(WaterfallTable[A Total Dist.],MATCH(10,WaterfallTable[Year],0))</f>
        <v>193451.61394970046</v>
      </c>
      <c r="O19" s="46">
        <f>SUM(ReturnsTable[[#This Row],[Year 0]:[Year 10]])+ReturnsTable[[#This Row],[Capital / Basis]]</f>
        <v>565451.61394970049</v>
      </c>
      <c r="P19" s="48">
        <f>IFERROR(ReturnsTable[[#This Row],[Total Distributions]]/ReturnsTable[[#This Row],[Capital / Basis]],0)</f>
        <v>1.8848387131656683</v>
      </c>
      <c r="Q19" s="47">
        <f>IFERROR((ReturnsTable[[#This Row],[Total Distributions]]-ReturnsTable[[#This Row],[Capital / Basis]])/ReturnsTable[[#This Row],[Capital / Basis]],0)</f>
        <v>0.88483871316566831</v>
      </c>
      <c r="R19" s="65">
        <f>SUM(ReturnsTable[[#This Row],[Year 0]:[Year 10]])</f>
        <v>265451.61394970049</v>
      </c>
      <c r="S19" s="39">
        <f>SUM(ReturnsTable[[#This Row],[Year 4]:[Total Return]])</f>
        <v>1024357.6115265279</v>
      </c>
    </row>
    <row r="20" spans="1:19" x14ac:dyDescent="0.25">
      <c r="A20" s="61" t="s">
        <v>92</v>
      </c>
      <c r="B20" s="49">
        <f>ClassBCapital</f>
        <v>597500</v>
      </c>
      <c r="C20" s="50">
        <f>IFERROR(IRR(ReturnsTable[[#This Row],[Year 0]:[Year 10]]),0)</f>
        <v>7.1878820134485322E-2</v>
      </c>
      <c r="D20" s="49">
        <f>-ReturnsTable[[#This Row],[Capital / Basis]]</f>
        <v>-597500</v>
      </c>
      <c r="E20" s="49">
        <f>INDEX(WaterfallTable[B Total Dist.],MATCH(1,WaterfallTable[Year],0))</f>
        <v>0</v>
      </c>
      <c r="F20" s="49">
        <f>INDEX(WaterfallTable[B Total Dist.],MATCH(2,WaterfallTable[Year],0))</f>
        <v>212551.34686410858</v>
      </c>
      <c r="G20" s="49">
        <f>INDEX(WaterfallTable[B Total Dist.],MATCH(3,WaterfallTable[Year],0))</f>
        <v>23855.506864108764</v>
      </c>
      <c r="H20" s="49">
        <f>INDEX(WaterfallTable[B Total Dist.],MATCH(4,WaterfallTable[Year],0))</f>
        <v>23855.506864108764</v>
      </c>
      <c r="I20" s="49">
        <f>INDEX(WaterfallTable[B Total Dist.],MATCH(5,WaterfallTable[Year],0))</f>
        <v>23855.506864108764</v>
      </c>
      <c r="J20" s="49">
        <f>INDEX(WaterfallTable[B Total Dist.],MATCH(6,WaterfallTable[Year],0))</f>
        <v>23855.506864108764</v>
      </c>
      <c r="K20" s="49">
        <f>INDEX(WaterfallTable[B Total Dist.],MATCH(7,WaterfallTable[Year],0))</f>
        <v>23855.506864108764</v>
      </c>
      <c r="L20" s="49">
        <f>INDEX(WaterfallTable[B Total Dist.],MATCH(8,WaterfallTable[Year],0))</f>
        <v>23855.506864108764</v>
      </c>
      <c r="M20" s="49">
        <f>INDEX(WaterfallTable[B Total Dist.],MATCH(9,WaterfallTable[Year],0))</f>
        <v>23855.506864108764</v>
      </c>
      <c r="N20" s="49">
        <f>INDEX(WaterfallTable[B Total Dist.],MATCH(10,WaterfallTable[Year],0))</f>
        <v>603251.23620361672</v>
      </c>
      <c r="O20" s="49">
        <f>SUM(ReturnsTable[[#This Row],[Year 0]:[Year 10]])+ReturnsTable[[#This Row],[Capital / Basis]]</f>
        <v>982791.13111648674</v>
      </c>
      <c r="P20" s="51">
        <f>IFERROR(ReturnsTable[[#This Row],[Total Distributions]]/ReturnsTable[[#This Row],[Capital / Basis]],0)</f>
        <v>1.6448387131656681</v>
      </c>
      <c r="Q20" s="50">
        <f>IFERROR((ReturnsTable[[#This Row],[Total Distributions]]-ReturnsTable[[#This Row],[Capital / Basis]])/ReturnsTable[[#This Row],[Capital / Basis]],0)</f>
        <v>0.64483871316566821</v>
      </c>
      <c r="R20" s="66">
        <f>SUM(ReturnsTable[[#This Row],[Year 0]:[Year 10]])</f>
        <v>385291.13111648674</v>
      </c>
      <c r="S20" s="40">
        <f>SUM(ReturnsTable[[#This Row],[Year 4]:[Total Return]])</f>
        <v>2114468.829298669</v>
      </c>
    </row>
    <row r="21" spans="1:19" x14ac:dyDescent="0.25">
      <c r="A21" s="62" t="s">
        <v>93</v>
      </c>
      <c r="B21" s="52">
        <f>SponsorBasis</f>
        <v>150000</v>
      </c>
      <c r="C21" s="53">
        <f>IFERROR(IRR(ReturnsTable[[#This Row],[Year 0]:[Year 10]]),0)</f>
        <v>0</v>
      </c>
      <c r="D21" s="52">
        <f>INDEX(WaterfallTable[Total Dist.],MATCH(0,WaterfallTable[Year],0))</f>
        <v>150000</v>
      </c>
      <c r="E21" s="52">
        <f>INDEX(WaterfallTable[Total Dist.],MATCH(1,WaterfallTable[Year],0))</f>
        <v>0</v>
      </c>
      <c r="F21" s="52">
        <f>INDEX(WaterfallTable[Total Dist.],MATCH(2,WaterfallTable[Year],0))</f>
        <v>0</v>
      </c>
      <c r="G21" s="52">
        <f>INDEX(WaterfallTable[Total Dist.],MATCH(3,WaterfallTable[Year],0))</f>
        <v>0</v>
      </c>
      <c r="H21" s="52">
        <f>INDEX(WaterfallTable[Total Dist.],MATCH(4,WaterfallTable[Year],0))</f>
        <v>0</v>
      </c>
      <c r="I21" s="52">
        <f>INDEX(WaterfallTable[Total Dist.],MATCH(5,WaterfallTable[Year],0))</f>
        <v>0</v>
      </c>
      <c r="J21" s="52">
        <f>INDEX(WaterfallTable[Total Dist.],MATCH(6,WaterfallTable[Year],0))</f>
        <v>0</v>
      </c>
      <c r="K21" s="52">
        <f>INDEX(WaterfallTable[Total Dist.],MATCH(7,WaterfallTable[Year],0))</f>
        <v>0</v>
      </c>
      <c r="L21" s="52">
        <f>INDEX(WaterfallTable[Total Dist.],MATCH(8,WaterfallTable[Year],0))</f>
        <v>0</v>
      </c>
      <c r="M21" s="52">
        <f>INDEX(WaterfallTable[Total Dist.],MATCH(9,WaterfallTable[Year],0))</f>
        <v>0</v>
      </c>
      <c r="N21" s="52">
        <f>INDEX(WaterfallTable[Total Dist.],MATCH(10,WaterfallTable[Year],0))</f>
        <v>385828.49671079149</v>
      </c>
      <c r="O21" s="52">
        <f>SUM(ReturnsTable[[#This Row],[Year 0]:[Year 10]])+ReturnsTable[[#This Row],[Capital / Basis]]</f>
        <v>685828.49671079149</v>
      </c>
      <c r="P21" s="54">
        <f>IFERROR(ReturnsTable[[#This Row],[Total Distributions]]/ReturnsTable[[#This Row],[Capital / Basis]],0)</f>
        <v>4.5721899780719433</v>
      </c>
      <c r="Q21" s="53">
        <f>IFERROR((ReturnsTable[[#This Row],[Total Distributions]]-ReturnsTable[[#This Row],[Capital / Basis]])/ReturnsTable[[#This Row],[Capital / Basis]],0)</f>
        <v>3.5721899780719433</v>
      </c>
      <c r="R21" s="67">
        <f>SUM(ReturnsTable[[#This Row],[Year 0]:[Year 10]])</f>
        <v>535828.49671079149</v>
      </c>
      <c r="S21" s="41">
        <f>SUM(ReturnsTable[[#This Row],[Year 4]:[Total Return]])</f>
        <v>1607493.6345123306</v>
      </c>
    </row>
    <row r="22" spans="1:19" x14ac:dyDescent="0.25">
      <c r="A22" s="63" t="s">
        <v>318</v>
      </c>
      <c r="B22" s="56">
        <f>0</f>
        <v>0</v>
      </c>
      <c r="C22" s="57">
        <f>IFERROR(IRR(ReturnsTable[[#This Row],[Year 0]:[Year 10]]),0)</f>
        <v>0</v>
      </c>
      <c r="D22" s="56">
        <f>0</f>
        <v>0</v>
      </c>
      <c r="E22" s="56">
        <f t="shared" ref="E22:N22" si="0">AnnualManagementFee</f>
        <v>7776</v>
      </c>
      <c r="F22" s="56">
        <f t="shared" si="0"/>
        <v>7776</v>
      </c>
      <c r="G22" s="56">
        <f t="shared" si="0"/>
        <v>7776</v>
      </c>
      <c r="H22" s="56">
        <f t="shared" si="0"/>
        <v>7776</v>
      </c>
      <c r="I22" s="56">
        <f t="shared" si="0"/>
        <v>7776</v>
      </c>
      <c r="J22" s="56">
        <f t="shared" si="0"/>
        <v>7776</v>
      </c>
      <c r="K22" s="56">
        <f t="shared" si="0"/>
        <v>7776</v>
      </c>
      <c r="L22" s="56">
        <f t="shared" si="0"/>
        <v>7776</v>
      </c>
      <c r="M22" s="56">
        <f t="shared" si="0"/>
        <v>7776</v>
      </c>
      <c r="N22" s="56">
        <f t="shared" si="0"/>
        <v>7776</v>
      </c>
      <c r="O22" s="56">
        <f>SUM(ReturnsTable[[#This Row],[Year 0]:[Year 10]])+ReturnsTable[[#This Row],[Capital / Basis]]</f>
        <v>77760</v>
      </c>
      <c r="P22" s="58">
        <f>0</f>
        <v>0</v>
      </c>
      <c r="Q22" s="57">
        <f>0</f>
        <v>0</v>
      </c>
      <c r="R22" s="68">
        <f>SUM(ReturnsTable[[#This Row],[Year 0]:[Year 10]])</f>
        <v>77760</v>
      </c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72" t="s">
        <v>292</v>
      </c>
      <c r="B1" s="70"/>
      <c r="C1" s="70"/>
      <c r="D1" s="7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73</v>
      </c>
      <c r="B3" s="27" t="s">
        <v>74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81</v>
      </c>
      <c r="J3" s="27" t="s">
        <v>82</v>
      </c>
      <c r="K3" s="27" t="s">
        <v>83</v>
      </c>
      <c r="L3" s="27" t="s">
        <v>84</v>
      </c>
      <c r="M3" s="27" t="s">
        <v>85</v>
      </c>
      <c r="N3" s="27" t="s">
        <v>86</v>
      </c>
      <c r="O3" s="27" t="s">
        <v>87</v>
      </c>
      <c r="P3" s="27" t="s">
        <v>88</v>
      </c>
      <c r="Q3" s="27" t="s">
        <v>89</v>
      </c>
      <c r="R3" s="27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SUM(Waterfall!$K$4:$K$14)</f>
        <v>565451.61394970049</v>
      </c>
      <c r="D4" s="13">
        <f>C4-B4</f>
        <v>265451.61394970049</v>
      </c>
      <c r="E4" s="13">
        <f>IFERROR(C4/B4,0)</f>
        <v>1.8848387131656683</v>
      </c>
      <c r="F4" s="24">
        <f>IFERROR(D4/B4,0)</f>
        <v>0.88483871316566831</v>
      </c>
      <c r="G4" s="24">
        <f>IRR(H4:R4)</f>
        <v>0.18869764444923476</v>
      </c>
      <c r="H4" s="13">
        <f>-B4</f>
        <v>-300000</v>
      </c>
      <c r="I4" s="13">
        <f>INDEX(Waterfall!$K$4:$K$14,MATCH(1,Waterfall!$A$4:$A$14,0))</f>
        <v>17868</v>
      </c>
      <c r="J4" s="13">
        <f>INDEX(Waterfall!$K$4:$K$14,MATCH(2,Waterfall!$A$4:$A$14,0))</f>
        <v>354132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193451.61394970046</v>
      </c>
    </row>
    <row r="5" spans="1:20" x14ac:dyDescent="0.25">
      <c r="A5" s="13" t="s">
        <v>92</v>
      </c>
      <c r="B5" s="13">
        <f>ClassBCapital</f>
        <v>597500</v>
      </c>
      <c r="C5" s="13">
        <f>SUM(Waterfall!$P$4:$P$14)</f>
        <v>982791.13111648674</v>
      </c>
      <c r="D5" s="13">
        <f>C5-B5</f>
        <v>385291.13111648674</v>
      </c>
      <c r="E5" s="13">
        <f>IFERROR(C5/B5,0)</f>
        <v>1.6448387131656681</v>
      </c>
      <c r="F5" s="24">
        <f>IFERROR(D5/B5,0)</f>
        <v>0.64483871316566821</v>
      </c>
      <c r="G5" s="24">
        <f>IFERROR(IRR(H5:R5),0)</f>
        <v>7.1878820134485322E-2</v>
      </c>
      <c r="H5" s="13">
        <f>-B5</f>
        <v>-597500</v>
      </c>
      <c r="I5" s="13">
        <f>INDEX(Waterfall!$P$4:$P$14,MATCH(1,Waterfall!$A$4:$A$14,0))</f>
        <v>0</v>
      </c>
      <c r="J5" s="13">
        <f>INDEX(Waterfall!$P$4:$P$14,MATCH(2,Waterfall!$A$4:$A$14,0))</f>
        <v>212551.34686410858</v>
      </c>
      <c r="K5" s="13">
        <f>INDEX(Waterfall!$P$4:$P$14,MATCH(3,Waterfall!$A$4:$A$14,0))</f>
        <v>23855.506864108764</v>
      </c>
      <c r="L5" s="13">
        <f>INDEX(Waterfall!$P$4:$P$14,MATCH(4,Waterfall!$A$4:$A$14,0))</f>
        <v>23855.506864108764</v>
      </c>
      <c r="M5" s="13">
        <f>INDEX(Waterfall!$P$4:$P$14,MATCH(5,Waterfall!$A$4:$A$14,0))</f>
        <v>23855.506864108764</v>
      </c>
      <c r="N5" s="13">
        <f>INDEX(Waterfall!$P$4:$P$14,MATCH(6,Waterfall!$A$4:$A$14,0))</f>
        <v>23855.506864108764</v>
      </c>
      <c r="O5" s="13">
        <f>INDEX(Waterfall!$P$4:$P$14,MATCH(7,Waterfall!$A$4:$A$14,0))</f>
        <v>23855.506864108764</v>
      </c>
      <c r="P5" s="13">
        <f>INDEX(Waterfall!$P$4:$P$14,MATCH(8,Waterfall!$A$4:$A$14,0))</f>
        <v>23855.506864108764</v>
      </c>
      <c r="Q5" s="13">
        <f>INDEX(Waterfall!$P$4:$P$14,MATCH(9,Waterfall!$A$4:$A$14,0))</f>
        <v>23855.506864108764</v>
      </c>
      <c r="R5" s="13">
        <f>INDEX(Waterfall!$P$4:$P$14,MATCH(10,Waterfall!$A$4:$A$14,0))</f>
        <v>603251.23620361672</v>
      </c>
    </row>
    <row r="6" spans="1:20" x14ac:dyDescent="0.25">
      <c r="A6" s="13" t="s">
        <v>93</v>
      </c>
      <c r="B6" s="13">
        <f>SponsorBasis</f>
        <v>150000</v>
      </c>
      <c r="C6" s="13">
        <f>SUM(Waterfall!$S$4:$S$14)</f>
        <v>535828.49671079149</v>
      </c>
      <c r="D6" s="13">
        <f>C6-B6</f>
        <v>385828.49671079149</v>
      </c>
      <c r="E6" s="13">
        <f>IFERROR(C6/B6,0)</f>
        <v>3.5721899780719433</v>
      </c>
      <c r="F6" s="24">
        <f>IFERROR(D6/B6,0)</f>
        <v>2.5721899780719433</v>
      </c>
      <c r="G6" s="24">
        <f>IFERROR(IRR(H6:R6),0)</f>
        <v>9.9082528478990683E-2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385828.49671079149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9" t="s">
        <v>273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80" t="s">
        <v>107</v>
      </c>
      <c r="C2" s="70"/>
      <c r="D2" s="70"/>
    </row>
    <row r="3" spans="1:10" x14ac:dyDescent="0.25">
      <c r="A3" s="13" t="s">
        <v>108</v>
      </c>
      <c r="B3" s="80" t="s">
        <v>109</v>
      </c>
      <c r="C3" s="70"/>
      <c r="D3" s="70"/>
      <c r="E3" s="70"/>
      <c r="F3" s="70"/>
      <c r="G3" s="70"/>
      <c r="H3" s="70"/>
      <c r="I3" s="70"/>
    </row>
    <row r="4" spans="1:10" x14ac:dyDescent="0.25">
      <c r="A4" s="13"/>
      <c r="B4" s="13"/>
      <c r="C4" s="80"/>
      <c r="D4" s="73"/>
      <c r="E4" s="73"/>
      <c r="F4" s="73"/>
      <c r="H4" s="13"/>
    </row>
    <row r="5" spans="1:10" ht="15.75" thickBot="1" x14ac:dyDescent="0.3">
      <c r="A5" s="13"/>
      <c r="B5" s="13"/>
      <c r="C5" s="80"/>
      <c r="D5" s="73"/>
      <c r="E5" s="73"/>
      <c r="F5" s="73"/>
      <c r="H5" s="13"/>
    </row>
    <row r="6" spans="1:10" ht="15.75" thickBot="1" x14ac:dyDescent="0.3">
      <c r="A6" s="13"/>
      <c r="B6" s="32" t="s">
        <v>110</v>
      </c>
      <c r="C6" s="32" t="s">
        <v>111</v>
      </c>
      <c r="D6" s="5"/>
      <c r="E6" s="5"/>
      <c r="F6" s="5"/>
    </row>
    <row r="7" spans="1:10" ht="15.75" thickBot="1" x14ac:dyDescent="0.3">
      <c r="A7" s="12" t="s">
        <v>112</v>
      </c>
      <c r="B7" s="37" t="s">
        <v>299</v>
      </c>
      <c r="C7" s="37" t="s">
        <v>124</v>
      </c>
      <c r="E7" s="32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3">
        <f>B27</f>
        <v>897500</v>
      </c>
      <c r="C8" s="34">
        <f>C27</f>
        <v>1635000</v>
      </c>
      <c r="E8" s="32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5">
        <f>B41+B50+B59</f>
        <v>1880000</v>
      </c>
      <c r="C9" s="36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295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300</v>
      </c>
      <c r="B20" s="13">
        <v>40000</v>
      </c>
      <c r="C20" s="13">
        <v>100000</v>
      </c>
    </row>
    <row r="21" spans="1:3" x14ac:dyDescent="0.25">
      <c r="A21" s="6" t="s">
        <v>301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8">
        <v>60000</v>
      </c>
      <c r="C26" s="38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70" t="s">
        <v>163</v>
      </c>
      <c r="C62" s="70"/>
      <c r="D62" s="70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70" t="s">
        <v>167</v>
      </c>
      <c r="D66" s="70"/>
      <c r="E66" s="70"/>
      <c r="F66" s="70"/>
      <c r="G66" s="70"/>
    </row>
    <row r="67" spans="1:7" x14ac:dyDescent="0.25">
      <c r="A67" s="6" t="s">
        <v>168</v>
      </c>
      <c r="B67" s="6" t="s">
        <v>166</v>
      </c>
      <c r="C67" s="70" t="s">
        <v>167</v>
      </c>
      <c r="D67" s="70"/>
      <c r="E67" s="70"/>
      <c r="F67" s="70"/>
      <c r="G67" s="70"/>
    </row>
    <row r="68" spans="1:7" x14ac:dyDescent="0.25">
      <c r="A68" s="6" t="s">
        <v>169</v>
      </c>
      <c r="B68" s="6" t="s">
        <v>166</v>
      </c>
      <c r="C68" s="70" t="s">
        <v>167</v>
      </c>
      <c r="D68" s="70"/>
      <c r="E68" s="70"/>
      <c r="F68" s="70"/>
      <c r="G68" s="70"/>
    </row>
    <row r="69" spans="1:7" x14ac:dyDescent="0.25">
      <c r="A69" s="6" t="s">
        <v>170</v>
      </c>
      <c r="B69" s="6" t="s">
        <v>166</v>
      </c>
      <c r="C69" s="70" t="s">
        <v>167</v>
      </c>
      <c r="D69" s="70"/>
      <c r="E69" s="70"/>
      <c r="F69" s="70"/>
      <c r="G69" s="70"/>
    </row>
    <row r="70" spans="1:7" x14ac:dyDescent="0.25">
      <c r="A70" s="6" t="s">
        <v>171</v>
      </c>
      <c r="B70" s="6" t="s">
        <v>172</v>
      </c>
      <c r="C70" s="70" t="s">
        <v>173</v>
      </c>
      <c r="D70" s="70"/>
      <c r="E70" s="70"/>
      <c r="F70" s="70"/>
      <c r="G70" s="70"/>
    </row>
    <row r="71" spans="1:7" x14ac:dyDescent="0.25">
      <c r="A71" s="6" t="s">
        <v>174</v>
      </c>
      <c r="B71" s="6" t="s">
        <v>166</v>
      </c>
      <c r="C71" s="70" t="s">
        <v>175</v>
      </c>
      <c r="D71" s="70"/>
      <c r="E71" s="70"/>
      <c r="F71" s="70"/>
      <c r="G71" s="70"/>
    </row>
    <row r="72" spans="1:7" x14ac:dyDescent="0.25">
      <c r="A72" s="6" t="s">
        <v>176</v>
      </c>
      <c r="B72" s="6" t="s">
        <v>166</v>
      </c>
      <c r="C72" s="70" t="s">
        <v>177</v>
      </c>
      <c r="D72" s="70"/>
      <c r="E72" s="70"/>
      <c r="F72" s="70"/>
      <c r="G72" s="70"/>
    </row>
    <row r="73" spans="1:7" x14ac:dyDescent="0.25">
      <c r="A73" s="6" t="s">
        <v>178</v>
      </c>
      <c r="B73" s="6" t="s">
        <v>166</v>
      </c>
      <c r="C73" s="70" t="s">
        <v>179</v>
      </c>
      <c r="D73" s="70"/>
      <c r="E73" s="70"/>
      <c r="F73" s="70"/>
      <c r="G73" s="70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70" t="s">
        <v>182</v>
      </c>
      <c r="D76" s="70"/>
      <c r="E76" s="70"/>
      <c r="F76" s="70"/>
      <c r="G76" s="70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70" t="s">
        <v>188</v>
      </c>
      <c r="D81" s="70"/>
      <c r="E81" s="70"/>
      <c r="F81" s="70"/>
      <c r="G81" s="70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0.62032058940661094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120528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302</v>
      </c>
      <c r="B14" s="9">
        <v>4350</v>
      </c>
      <c r="C14" t="s">
        <v>303</v>
      </c>
    </row>
    <row r="15" spans="1:9" x14ac:dyDescent="0.25">
      <c r="A15" t="s">
        <v>206</v>
      </c>
      <c r="B15" s="9">
        <f>+D15*StabilizedMonthlyGrossRent*12</f>
        <v>7776</v>
      </c>
      <c r="C15" t="s">
        <v>207</v>
      </c>
      <c r="D15" s="19">
        <v>0.06</v>
      </c>
    </row>
    <row r="16" spans="1:9" x14ac:dyDescent="0.25">
      <c r="A16" t="s">
        <v>208</v>
      </c>
      <c r="B16" s="9">
        <v>15000</v>
      </c>
      <c r="C16" t="s">
        <v>209</v>
      </c>
    </row>
    <row r="17" spans="1:3" x14ac:dyDescent="0.25">
      <c r="A17" t="s">
        <v>210</v>
      </c>
      <c r="B17" s="9">
        <v>500</v>
      </c>
      <c r="C17" t="s">
        <v>211</v>
      </c>
    </row>
    <row r="18" spans="1:3" x14ac:dyDescent="0.25">
      <c r="A18" t="s">
        <v>212</v>
      </c>
      <c r="B18" s="9">
        <v>2400</v>
      </c>
      <c r="C18" t="s">
        <v>213</v>
      </c>
    </row>
    <row r="19" spans="1:3" x14ac:dyDescent="0.25">
      <c r="A19" t="s">
        <v>214</v>
      </c>
      <c r="B19" s="9">
        <v>1800</v>
      </c>
      <c r="C19" t="s">
        <v>215</v>
      </c>
    </row>
    <row r="20" spans="1:3" x14ac:dyDescent="0.25">
      <c r="A20" t="s">
        <v>216</v>
      </c>
      <c r="B20" s="9">
        <v>9000</v>
      </c>
      <c r="C20" t="s">
        <v>217</v>
      </c>
    </row>
    <row r="21" spans="1:3" x14ac:dyDescent="0.25">
      <c r="A21" t="s">
        <v>218</v>
      </c>
      <c r="B21" s="9">
        <f>200*8</f>
        <v>1600</v>
      </c>
      <c r="C21" t="s">
        <v>219</v>
      </c>
    </row>
    <row r="22" spans="1:3" x14ac:dyDescent="0.25">
      <c r="A22" t="s">
        <v>220</v>
      </c>
      <c r="B22" s="9">
        <v>3600</v>
      </c>
      <c r="C22" t="s">
        <v>221</v>
      </c>
    </row>
    <row r="23" spans="1:3" x14ac:dyDescent="0.25">
      <c r="A23" t="s">
        <v>222</v>
      </c>
      <c r="B23" s="9">
        <v>1200</v>
      </c>
      <c r="C23" t="s">
        <v>215</v>
      </c>
    </row>
    <row r="24" spans="1:3" x14ac:dyDescent="0.25">
      <c r="A24" t="s">
        <v>223</v>
      </c>
      <c r="B24" s="9">
        <v>3000</v>
      </c>
      <c r="C24" t="s">
        <v>224</v>
      </c>
    </row>
    <row r="25" spans="1:3" x14ac:dyDescent="0.25">
      <c r="A25" t="s">
        <v>225</v>
      </c>
      <c r="B25" s="9">
        <v>4000</v>
      </c>
      <c r="C25" t="s">
        <v>226</v>
      </c>
    </row>
    <row r="26" spans="1:3" x14ac:dyDescent="0.25">
      <c r="A26" t="s">
        <v>227</v>
      </c>
      <c r="B26" s="2">
        <v>0</v>
      </c>
      <c r="C26" t="s">
        <v>228</v>
      </c>
    </row>
    <row r="27" spans="1:3" x14ac:dyDescent="0.25">
      <c r="A27" t="s">
        <v>229</v>
      </c>
      <c r="B27" s="2">
        <f>120*12</f>
        <v>1440</v>
      </c>
      <c r="C27" t="s">
        <v>230</v>
      </c>
    </row>
    <row r="28" spans="1:3" x14ac:dyDescent="0.25">
      <c r="A28" t="s">
        <v>231</v>
      </c>
      <c r="B28" s="2"/>
      <c r="C28" t="s">
        <v>232</v>
      </c>
    </row>
    <row r="29" spans="1:3" x14ac:dyDescent="0.25">
      <c r="A29" t="s">
        <v>233</v>
      </c>
      <c r="B29" s="2">
        <v>1200</v>
      </c>
      <c r="C29" t="s">
        <v>234</v>
      </c>
    </row>
    <row r="30" spans="1:3" x14ac:dyDescent="0.25">
      <c r="A30" t="s">
        <v>235</v>
      </c>
      <c r="B30" s="2"/>
      <c r="C30" t="s">
        <v>236</v>
      </c>
    </row>
    <row r="31" spans="1:3" x14ac:dyDescent="0.25">
      <c r="A31" t="s">
        <v>237</v>
      </c>
      <c r="B31" s="2">
        <v>2400</v>
      </c>
      <c r="C31" t="s">
        <v>238</v>
      </c>
    </row>
    <row r="32" spans="1:3" x14ac:dyDescent="0.25">
      <c r="A32" t="s">
        <v>239</v>
      </c>
      <c r="B32" s="2">
        <v>1200</v>
      </c>
      <c r="C32" t="s">
        <v>240</v>
      </c>
    </row>
    <row r="33" spans="1:3" x14ac:dyDescent="0.25">
      <c r="A33" t="s">
        <v>241</v>
      </c>
      <c r="B33" s="2">
        <v>800</v>
      </c>
      <c r="C33" t="s">
        <v>242</v>
      </c>
    </row>
    <row r="34" spans="1:3" x14ac:dyDescent="0.25">
      <c r="A34" t="s">
        <v>243</v>
      </c>
      <c r="B34" s="2">
        <v>2500</v>
      </c>
      <c r="C34" t="s">
        <v>244</v>
      </c>
    </row>
    <row r="35" spans="1:3" ht="15.75" thickBot="1" x14ac:dyDescent="0.3">
      <c r="A35" s="5" t="s">
        <v>245</v>
      </c>
      <c r="B35" s="38">
        <v>4000</v>
      </c>
      <c r="C35" s="5" t="s">
        <v>246</v>
      </c>
    </row>
    <row r="36" spans="1:3" x14ac:dyDescent="0.25">
      <c r="A36" s="5" t="s">
        <v>247</v>
      </c>
      <c r="B36" s="7">
        <f>SUM(B13:B35)</f>
        <v>74766</v>
      </c>
      <c r="C36" s="5" t="s">
        <v>248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71</vt:i4>
      </vt:variant>
    </vt:vector>
  </HeadingPairs>
  <TitlesOfParts>
    <vt:vector size="78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2026-05-15T18:46:45Z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