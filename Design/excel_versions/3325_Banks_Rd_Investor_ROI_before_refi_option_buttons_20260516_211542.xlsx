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DBEED6FB-C175-495E-8F03-560FB0244F67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B22" i="7"/>
  <c r="B5" i="1"/>
  <c r="J4" i="2" s="1"/>
  <c r="S22" i="3"/>
  <c r="R22" i="3"/>
  <c r="Q22" i="3"/>
  <c r="D22" i="3"/>
  <c r="C22" i="3"/>
  <c r="C21" i="3"/>
  <c r="C19" i="3"/>
  <c r="B22" i="3"/>
  <c r="B21" i="3"/>
  <c r="B19" i="3"/>
  <c r="D19" i="3" s="1"/>
  <c r="G11" i="1"/>
  <c r="B17" i="1" s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L14" i="2" l="1"/>
  <c r="L13" i="2"/>
  <c r="L12" i="2"/>
  <c r="K14" i="2"/>
  <c r="K13" i="2"/>
  <c r="K12" i="2"/>
  <c r="K4" i="2"/>
  <c r="J14" i="2"/>
  <c r="J13" i="2"/>
  <c r="J12" i="2"/>
  <c r="G4" i="3"/>
  <c r="O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L4" i="3"/>
  <c r="C4" i="2"/>
  <c r="P4" i="2"/>
  <c r="C8" i="2"/>
  <c r="D8" i="2" s="1"/>
  <c r="H22" i="3" s="1"/>
  <c r="C11" i="2"/>
  <c r="D11" i="2" s="1"/>
  <c r="K22" i="3" s="1"/>
  <c r="D4" i="3"/>
  <c r="G4" i="2"/>
  <c r="O4" i="3"/>
  <c r="O4" i="2"/>
  <c r="N5" i="3"/>
  <c r="C10" i="2"/>
  <c r="D10" i="2" s="1"/>
  <c r="J22" i="3" s="1"/>
  <c r="F4" i="3"/>
  <c r="C4" i="3" s="1"/>
  <c r="N6" i="3"/>
  <c r="H4" i="3"/>
  <c r="N8" i="3"/>
  <c r="N14" i="3"/>
  <c r="C9" i="2"/>
  <c r="D9" i="2" s="1"/>
  <c r="I22" i="3" s="1"/>
  <c r="I4" i="2"/>
  <c r="K4" i="3"/>
  <c r="N13" i="3"/>
  <c r="O5" i="2"/>
  <c r="P5" i="2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D14" i="2" l="1"/>
  <c r="N22" i="3" s="1"/>
  <c r="O22" i="3" s="1"/>
  <c r="P22" i="3" s="1"/>
  <c r="I5" i="2"/>
  <c r="E4" i="3"/>
  <c r="M4" i="3"/>
  <c r="I4" i="3"/>
  <c r="P4" i="3"/>
  <c r="D21" i="3" s="1"/>
  <c r="F5" i="3"/>
  <c r="C5" i="3" s="1"/>
  <c r="G10" i="6"/>
  <c r="B29" i="6" s="1"/>
  <c r="M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H5" i="2" s="1"/>
  <c r="E7" i="2"/>
  <c r="F7" i="2" s="1"/>
  <c r="P7" i="2" s="1"/>
  <c r="E8" i="2"/>
  <c r="F8" i="2" s="1"/>
  <c r="P8" i="2" s="1"/>
  <c r="E6" i="2"/>
  <c r="F6" i="2" s="1"/>
  <c r="P6" i="2" s="1"/>
  <c r="B30" i="1"/>
  <c r="G13" i="2" l="1"/>
  <c r="H13" i="2" s="1"/>
  <c r="G14" i="2"/>
  <c r="H14" i="2" s="1"/>
  <c r="O11" i="2"/>
  <c r="I11" i="2" s="1"/>
  <c r="O12" i="2"/>
  <c r="G12" i="2"/>
  <c r="H12" i="2" s="1"/>
  <c r="O13" i="2"/>
  <c r="P13" i="2"/>
  <c r="I13" i="2" s="1"/>
  <c r="P14" i="2"/>
  <c r="I14" i="2" s="1"/>
  <c r="P12" i="2"/>
  <c r="G11" i="2"/>
  <c r="H11" i="2" s="1"/>
  <c r="O10" i="2"/>
  <c r="P10" i="2"/>
  <c r="I10" i="2" s="1"/>
  <c r="G10" i="2"/>
  <c r="H10" i="2" s="1"/>
  <c r="O9" i="2"/>
  <c r="I9" i="2" s="1"/>
  <c r="O8" i="2"/>
  <c r="G9" i="2"/>
  <c r="H9" i="2" s="1"/>
  <c r="I6" i="2"/>
  <c r="O6" i="2"/>
  <c r="O7" i="2"/>
  <c r="I7" i="2" s="1"/>
  <c r="G6" i="2"/>
  <c r="H6" i="2" s="1"/>
  <c r="G7" i="2"/>
  <c r="H7" i="2" s="1"/>
  <c r="G8" i="2"/>
  <c r="H8" i="2" s="1"/>
  <c r="F4" i="2"/>
  <c r="B31" i="1"/>
  <c r="B32" i="1"/>
  <c r="I12" i="2" l="1"/>
  <c r="I8" i="2"/>
  <c r="H4" i="2"/>
  <c r="L4" i="2" s="1"/>
  <c r="B45" i="1"/>
  <c r="B44" i="1"/>
  <c r="N4" i="2" l="1"/>
  <c r="B4" i="3"/>
  <c r="J5" i="2" l="1"/>
  <c r="K5" i="2" s="1"/>
  <c r="L5" i="2" l="1"/>
  <c r="B5" i="3" s="1"/>
  <c r="D5" i="3" s="1"/>
  <c r="G5" i="3" s="1"/>
  <c r="F6" i="3" s="1"/>
  <c r="E5" i="3" l="1"/>
  <c r="K5" i="3"/>
  <c r="L5" i="3" s="1"/>
  <c r="M5" i="3" s="1"/>
  <c r="E20" i="3" s="1"/>
  <c r="C6" i="3"/>
  <c r="H5" i="3" l="1"/>
  <c r="I5" i="3" s="1"/>
  <c r="E19" i="3" s="1"/>
  <c r="O5" i="3"/>
  <c r="P5" i="3" s="1"/>
  <c r="E21" i="3" s="1"/>
  <c r="J6" i="3"/>
  <c r="I5" i="4"/>
  <c r="I6" i="4" l="1"/>
  <c r="M5" i="2"/>
  <c r="N5" i="2" s="1"/>
  <c r="I4" i="4"/>
  <c r="J6" i="2" l="1"/>
  <c r="K6" i="2" s="1"/>
  <c r="L6" i="2" l="1"/>
  <c r="B6" i="3" s="1"/>
  <c r="D6" i="3" l="1"/>
  <c r="E6" i="3" s="1"/>
  <c r="G6" i="3" l="1"/>
  <c r="F7" i="3" s="1"/>
  <c r="C7" i="3" s="1"/>
  <c r="K6" i="3" l="1"/>
  <c r="L6" i="3" s="1"/>
  <c r="M6" i="3" s="1"/>
  <c r="F20" i="3" s="1"/>
  <c r="H6" i="3" l="1"/>
  <c r="I6" i="3" s="1"/>
  <c r="O6" i="3"/>
  <c r="P6" i="3" s="1"/>
  <c r="F21" i="3" s="1"/>
  <c r="J7" i="3"/>
  <c r="J5" i="4"/>
  <c r="J6" i="4" l="1"/>
  <c r="M6" i="2"/>
  <c r="N6" i="2" s="1"/>
  <c r="J7" i="2" s="1"/>
  <c r="K7" i="2" s="1"/>
  <c r="F19" i="3"/>
  <c r="J4" i="4"/>
  <c r="L7" i="2" l="1"/>
  <c r="B7" i="3" s="1"/>
  <c r="D7" i="3" l="1"/>
  <c r="G7" i="3" l="1"/>
  <c r="E7" i="3"/>
  <c r="F8" i="3" l="1"/>
  <c r="C8" i="3" s="1"/>
  <c r="K7" i="3"/>
  <c r="J8" i="3" s="1"/>
  <c r="L7" i="3" l="1"/>
  <c r="M7" i="3" s="1"/>
  <c r="G20" i="3" s="1"/>
  <c r="O7" i="3"/>
  <c r="P7" i="3" s="1"/>
  <c r="H7" i="3"/>
  <c r="I7" i="3" s="1"/>
  <c r="G19" i="3" s="1"/>
  <c r="G21" i="3"/>
  <c r="K6" i="4"/>
  <c r="K5" i="4" l="1"/>
  <c r="M7" i="2"/>
  <c r="N7" i="2" s="1"/>
  <c r="J8" i="2" s="1"/>
  <c r="K8" i="2" s="1"/>
  <c r="K4" i="4"/>
  <c r="L8" i="2" l="1"/>
  <c r="B8" i="3" s="1"/>
  <c r="D8" i="3" l="1"/>
  <c r="E8" i="3" s="1"/>
  <c r="G8" i="3" l="1"/>
  <c r="F9" i="3" s="1"/>
  <c r="C9" i="3" s="1"/>
  <c r="K8" i="3" l="1"/>
  <c r="J9" i="3" s="1"/>
  <c r="O8" i="3" l="1"/>
  <c r="P8" i="3" s="1"/>
  <c r="L8" i="3"/>
  <c r="M8" i="3" s="1"/>
  <c r="H8" i="3"/>
  <c r="I8" i="3" s="1"/>
  <c r="H19" i="3" l="1"/>
  <c r="L4" i="4"/>
  <c r="M8" i="2"/>
  <c r="N8" i="2" s="1"/>
  <c r="H20" i="3"/>
  <c r="L5" i="4"/>
  <c r="H21" i="3"/>
  <c r="L6" i="4"/>
  <c r="J9" i="2" l="1"/>
  <c r="K9" i="2" s="1"/>
  <c r="L9" i="2" l="1"/>
  <c r="B9" i="3" s="1"/>
  <c r="D9" i="3" l="1"/>
  <c r="E9" i="3" s="1"/>
  <c r="G9" i="3" l="1"/>
  <c r="F10" i="3" l="1"/>
  <c r="K9" i="3"/>
  <c r="J10" i="3" s="1"/>
  <c r="L9" i="3" l="1"/>
  <c r="M9" i="3" s="1"/>
  <c r="O9" i="3"/>
  <c r="P9" i="3" s="1"/>
  <c r="C10" i="3"/>
  <c r="H9" i="3"/>
  <c r="I9" i="3" s="1"/>
  <c r="I21" i="3" l="1"/>
  <c r="M6" i="4"/>
  <c r="I20" i="3"/>
  <c r="M5" i="4"/>
  <c r="I19" i="3"/>
  <c r="M4" i="4"/>
  <c r="M9" i="2"/>
  <c r="N9" i="2" s="1"/>
  <c r="J10" i="2" l="1"/>
  <c r="K10" i="2" s="1"/>
  <c r="L10" i="2" l="1"/>
  <c r="B10" i="3" s="1"/>
  <c r="F12" i="3"/>
  <c r="D10" i="3" l="1"/>
  <c r="E10" i="3" s="1"/>
  <c r="C12" i="3"/>
  <c r="G10" i="3" l="1"/>
  <c r="F11" i="3" s="1"/>
  <c r="C11" i="3" s="1"/>
  <c r="K10" i="3" l="1"/>
  <c r="L10" i="3" s="1"/>
  <c r="M10" i="3" s="1"/>
  <c r="D12" i="3"/>
  <c r="J20" i="3" l="1"/>
  <c r="N5" i="4"/>
  <c r="O10" i="3"/>
  <c r="P10" i="3" s="1"/>
  <c r="H10" i="3"/>
  <c r="I10" i="3" s="1"/>
  <c r="J11" i="3"/>
  <c r="E12" i="3"/>
  <c r="G12" i="3"/>
  <c r="F13" i="3" s="1"/>
  <c r="J19" i="3" l="1"/>
  <c r="N4" i="4"/>
  <c r="M10" i="2"/>
  <c r="N10" i="2" s="1"/>
  <c r="J21" i="3"/>
  <c r="N6" i="4"/>
  <c r="C13" i="3"/>
  <c r="K12" i="3"/>
  <c r="H12" i="3" s="1"/>
  <c r="I12" i="3" s="1"/>
  <c r="L19" i="3" s="1"/>
  <c r="J11" i="2" l="1"/>
  <c r="K11" i="2" s="1"/>
  <c r="L12" i="3"/>
  <c r="M12" i="3" s="1"/>
  <c r="L20" i="3" s="1"/>
  <c r="P4" i="4"/>
  <c r="J13" i="3"/>
  <c r="O12" i="3"/>
  <c r="P12" i="3" s="1"/>
  <c r="L21" i="3" s="1"/>
  <c r="L11" i="2" l="1"/>
  <c r="B11" i="3" s="1"/>
  <c r="P6" i="4"/>
  <c r="P5" i="4"/>
  <c r="M12" i="2"/>
  <c r="N12" i="2" s="1"/>
  <c r="D11" i="3" l="1"/>
  <c r="E11" i="3" s="1"/>
  <c r="B13" i="3"/>
  <c r="G11" i="3" l="1"/>
  <c r="D13" i="3"/>
  <c r="K11" i="3" l="1"/>
  <c r="J12" i="3" s="1"/>
  <c r="G13" i="3"/>
  <c r="F14" i="3" s="1"/>
  <c r="C14" i="3" s="1"/>
  <c r="E13" i="3"/>
  <c r="L11" i="3" l="1"/>
  <c r="M11" i="3" s="1"/>
  <c r="O5" i="4" s="1"/>
  <c r="O11" i="3"/>
  <c r="P11" i="3" s="1"/>
  <c r="H11" i="3"/>
  <c r="I11" i="3" s="1"/>
  <c r="K13" i="3"/>
  <c r="H13" i="3" s="1"/>
  <c r="I13" i="3" s="1"/>
  <c r="M19" i="3" s="1"/>
  <c r="K20" i="3" l="1"/>
  <c r="K21" i="3"/>
  <c r="O6" i="4"/>
  <c r="K19" i="3"/>
  <c r="M11" i="2"/>
  <c r="N11" i="2" s="1"/>
  <c r="B12" i="3" s="1"/>
  <c r="O4" i="4"/>
  <c r="Q4" i="4"/>
  <c r="J14" i="3"/>
  <c r="O13" i="3"/>
  <c r="P13" i="3" s="1"/>
  <c r="M21" i="3" s="1"/>
  <c r="L13" i="3"/>
  <c r="M13" i="3" s="1"/>
  <c r="M20" i="3" s="1"/>
  <c r="Q5" i="4" l="1"/>
  <c r="M13" i="2"/>
  <c r="N13" i="2" s="1"/>
  <c r="Q6" i="4"/>
  <c r="B14" i="3" l="1"/>
  <c r="D14" i="3" l="1"/>
  <c r="E14" i="3" l="1"/>
  <c r="G14" i="3"/>
  <c r="K14" i="3" l="1"/>
  <c r="O14" i="3" s="1"/>
  <c r="P14" i="3" s="1"/>
  <c r="N21" i="3" s="1"/>
  <c r="S21" i="3" l="1"/>
  <c r="O21" i="3"/>
  <c r="R6" i="4"/>
  <c r="G6" i="4" s="1"/>
  <c r="C6" i="4"/>
  <c r="H14" i="3"/>
  <c r="I14" i="3" s="1"/>
  <c r="N19" i="3" s="1"/>
  <c r="L14" i="3"/>
  <c r="M14" i="3" s="1"/>
  <c r="N20" i="3" s="1"/>
  <c r="S19" i="3" l="1"/>
  <c r="O19" i="3"/>
  <c r="O20" i="3"/>
  <c r="S20" i="3"/>
  <c r="R21" i="3"/>
  <c r="P21" i="3"/>
  <c r="Q21" i="3" s="1"/>
  <c r="R5" i="4"/>
  <c r="G5" i="4" s="1"/>
  <c r="C5" i="4"/>
  <c r="M14" i="2"/>
  <c r="N14" i="2" s="1"/>
  <c r="R4" i="4"/>
  <c r="G4" i="4" s="1"/>
  <c r="C4" i="4"/>
  <c r="D6" i="4"/>
  <c r="F6" i="4" s="1"/>
  <c r="E6" i="4"/>
  <c r="P20" i="3" l="1"/>
  <c r="Q20" i="3" s="1"/>
  <c r="R20" i="3"/>
  <c r="P19" i="3"/>
  <c r="Q19" i="3" s="1"/>
  <c r="R19" i="3"/>
  <c r="E4" i="4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<sst xmlns="http://schemas.openxmlformats.org/spreadsheetml/2006/main" count="387" uniqueCount="327">
  <si>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</si>
  <si>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</si>
  <si>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</si>
  <si>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</si>
  <si>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</si>
  <si>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</si>
  <si>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</si>
  <si>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</si>
  <si>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</si>
  <si>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</si>
  <si>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</si>
  <si>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</si>
  <si>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</si>
  <si>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</si>
  <si>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</si>
  <si>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</si>
  <si>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</si>
  <si>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</si>
  <si>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</si>
  <si>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</si>
  <si>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</si>
  <si>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</si>
  <si>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</si>
  <si>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</si>
  <si>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</si>
  <si>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</si>
  <si>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</si>
  <si>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</si>
  <si>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</si>
  <si>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</si>
  <si>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</si>
  <si>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</si>
  <si>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</si>
  <si>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</si>
  <si>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</si>
  <si>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</si>
  <si>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</si>
  <si>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</si>
  <si>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</si>
  <si>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</si>
  <si>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</si>
  <si>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</si>
  <si>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</si>
  <si>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</si>
  <si>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</si>
  <si>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</si>
  <si>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</si>
  <si>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</si>
  <si>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</si>
  <si>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</si>
  <si>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</si>
  <si>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</si>
  <si>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</si>
  <si>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</si>
  <si>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</si>
  <si>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</si>
  <si>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</si>
  <si>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</si>
  <si>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</si>
  <si>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</si>
  <si>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</si>
  <si>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</si>
  <si>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</si>
  <si>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</si>
  <si>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</si>
  <si>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</si>
  <si>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</si>
  <si>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</si>
  <si>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</si>
  <si>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</si>
  <si>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</si>
  <si>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</si>
  <si>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</si>
  <si>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</si>
  <si>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</si>
  <si>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</si>
  <si>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</si>
  <si>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</si>
  <si>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</si>
  <si>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</si>
  <si>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</si>
  <si>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</si>
  <si>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</si>
  <si>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</si>
  <si>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</si>
  <si>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</si>
  <si>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</si>
  <si>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</si>
  <si>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</si>
  <si>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</si>
  <si>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</si>
  <si>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</si>
  <si>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</si>
  <si>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</si>
  <si>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</si>
  <si>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</si>
  <si>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</si>
  <si>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</si>
  <si>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</si>
  <si>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</si>
  <si>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</si>
  <si>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</si>
  <si>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</si>
  <si>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</si>
  <si>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</si>
  <si>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</si>
  <si>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</si>
  <si>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</si>
  <si>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</si>
  <si>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</si>
  <si>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</si>
  <si>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</si>
  <si>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</si>
  <si>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</si>
  <si>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</si>
  <si>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</si>
  <si>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</si>
  <si>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</si>
  <si>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</si>
  <si>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</si>
  <si>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</si>
  <si>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</si>
  <si>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</si>
  <si>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</si>
  <si>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</si>
  <si>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</si>
  <si>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</si>
  <si>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</si>
  <si>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</si>
  <si>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</si>
  <si>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</si>
  <si>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</si>
  <si>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</si>
  <si>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</si>
  <si>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</si>
  <si>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</si>
  <si>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</si>
  <si>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</si>
  <si>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</si>
  <si>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</si>
  <si>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</si>
  <si>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</si>
  <si>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</si>
  <si>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</si>
  <si>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</si>
  <si>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</si>
  <si>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</si>
  <si>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</si>
  <si>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</si>
  <si>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</si>
  <si>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</si>
  <si>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</si>
  <si>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</si>
  <si>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</si>
  <si>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</si>
  <si>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</si>
  <si>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</si>
  <si>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</si>
  <si>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</si>
  <si>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</si>
  <si>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</si>
  <si>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</si>
  <si>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</si>
  <si>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</si>
  <si>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</si>
  <si>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</si>
  <si>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</si>
  <si>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</si>
  <si>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</si>
  <si>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</si>
  <si>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</si>
  <si>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</si>
  <si>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</si>
  <si>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</si>
  <si>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</si>
  <si>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</si>
  <si>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</si>
  <si>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</si>
  <si>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</si>
  <si>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</si>
  <si>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</si>
  <si>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</si>
  <si>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</si>
  <si>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</si>
  <si>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</si>
  <si>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</si>
  <si>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</si>
  <si>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</si>
  <si>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</si>
  <si>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</si>
  <si>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</si>
  <si>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</si>
  <si>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</si>
  <si>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</si>
  <si>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</si>
  <si>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</si>
  <si>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</si>
  <si>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</si>
  <si>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</si>
  <si>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</si>
  <si>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</si>
  <si>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</si>
  <si>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</si>
  <si>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</si>
  <si>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</si>
  <si>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</si>
  <si>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</si>
  <si>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</si>
  <si>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</si>
  <si>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</si>
  <si>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</si>
  <si>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</si>
  <si>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</si>
  <si>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</si>
  <si>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</si>
  <si>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</si>
  <si>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</si>
  <si>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</si>
  <si>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</si>
  <si>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</si>
  <si>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</si>
  <si>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</si>
  <si>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</si>
  <si>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</si>
  <si>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</si>
  <si>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</si>
  <si>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</si>
  <si>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</si>
  <si>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</si>
  <si>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</si>
  <si>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</si>
  <si>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</si>
  <si>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</si>
  <si>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</si>
  <si>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</si>
  <si>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</si>
  <si>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</si>
  <si>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</si>
  <si>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</si>
  <si>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</si>
  <si>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</si>
  <si>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</si>
  <si>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</si>
  <si>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</si>
  <si>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</si>
  <si>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</si>
  <si>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</si>
  <si>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</si>
  <si>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</si>
  <si>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</si>
  <si>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</si>
  <si>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</si>
  <si>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</si>
  <si>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</si>
  <si>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</si>
  <si>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</si>
  <si>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</si>
  <si>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</si>
  <si>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</si>
  <si>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</si>
  <si>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</si>
  <si>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</si>
  <si>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</si>
  <si>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</si>
  <si>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</si>
  <si>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</si>
  <si>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</si>
  <si>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</si>
  <si>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</si>
  <si>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</si>
  <si>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</si>
  <si>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</si>
  <si>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</si>
  <si>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</si>
  <si>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</si>
  <si>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</si>
  <si>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</si>
  <si>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</si>
  <si>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</si>
  <si>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</si>
  <si>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</si>
  <si>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</si>
  <si>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</si>
  <si>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</si>
  <si>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</si>
  <si>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</si>
  <si>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</si>
  <si>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</si>
  <si>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</si>
  <si>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</si>
  <si>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</si>
  <si>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</si>
  <si>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</si>
  <si>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</si>
  <si>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</si>
  <si>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</si>
  <si>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</si>
  <si>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</si>
  <si>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</si>
  <si>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</si>
  <si>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</si>
  <si>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</si>
  <si>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</si>
  <si>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</si>
  <si>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</si>
  <si>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</si>
  <si>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</si>
  <si>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</si>
  <si>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</si>
  <si>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</si>
  <si>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</si>
  <si>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</si>
  <si>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</si>
  <si>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</si>
  <si>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</si>
  <si>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</si>
  <si>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</si>
  <si>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Exit Year?</t>
  </si>
  <si>
    <t>Model uses selected Waterfall exit-year option button; helper cell Waterfall!R3; buttons shown for Years 1-10 only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</si>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</sst>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Waterfall!$R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4</xdr:row>
          <xdr:rowOff>0</xdr:rowOff>
        </xdr:from>
        <xdr:to>
          <xdr:col>17</xdr:col>
          <xdr:colOff>400050</xdr:colOff>
          <xdr:row>5</xdr:row>
          <xdr:rowOff>19050</xdr:rowOff>
        </xdr:to>
        <xdr:sp macro="" textlink="">
          <xdr:nvSpPr>
            <xdr:cNvPr id="2071" name="ExitYearOption_1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5</xdr:row>
          <xdr:rowOff>0</xdr:rowOff>
        </xdr:from>
        <xdr:to>
          <xdr:col>17</xdr:col>
          <xdr:colOff>400050</xdr:colOff>
          <xdr:row>6</xdr:row>
          <xdr:rowOff>19050</xdr:rowOff>
        </xdr:to>
        <xdr:sp macro="" textlink="">
          <xdr:nvSpPr>
            <xdr:cNvPr id="2072" name="ExitYearOption_2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6</xdr:row>
          <xdr:rowOff>0</xdr:rowOff>
        </xdr:from>
        <xdr:to>
          <xdr:col>17</xdr:col>
          <xdr:colOff>400050</xdr:colOff>
          <xdr:row>7</xdr:row>
          <xdr:rowOff>19050</xdr:rowOff>
        </xdr:to>
        <xdr:sp macro="" textlink="">
          <xdr:nvSpPr>
            <xdr:cNvPr id="2073" name="ExitYearOption_3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7</xdr:row>
          <xdr:rowOff>0</xdr:rowOff>
        </xdr:from>
        <xdr:to>
          <xdr:col>17</xdr:col>
          <xdr:colOff>400050</xdr:colOff>
          <xdr:row>8</xdr:row>
          <xdr:rowOff>19050</xdr:rowOff>
        </xdr:to>
        <xdr:sp macro="" textlink="">
          <xdr:nvSpPr>
            <xdr:cNvPr id="2074" name="ExitYearOption_4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8</xdr:row>
          <xdr:rowOff>0</xdr:rowOff>
        </xdr:from>
        <xdr:to>
          <xdr:col>17</xdr:col>
          <xdr:colOff>400050</xdr:colOff>
          <xdr:row>9</xdr:row>
          <xdr:rowOff>19050</xdr:rowOff>
        </xdr:to>
        <xdr:sp macro="" textlink="">
          <xdr:nvSpPr>
            <xdr:cNvPr id="2075" name="ExitYearOption_5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9</xdr:row>
          <xdr:rowOff>0</xdr:rowOff>
        </xdr:from>
        <xdr:to>
          <xdr:col>17</xdr:col>
          <xdr:colOff>400050</xdr:colOff>
          <xdr:row>10</xdr:row>
          <xdr:rowOff>19050</xdr:rowOff>
        </xdr:to>
        <xdr:sp macro="" textlink="">
          <xdr:nvSpPr>
            <xdr:cNvPr id="2076" name="ExitYearOption_6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10</xdr:row>
          <xdr:rowOff>0</xdr:rowOff>
        </xdr:from>
        <xdr:to>
          <xdr:col>17</xdr:col>
          <xdr:colOff>400050</xdr:colOff>
          <xdr:row>11</xdr:row>
          <xdr:rowOff>19050</xdr:rowOff>
        </xdr:to>
        <xdr:sp macro="" textlink="">
          <xdr:nvSpPr>
            <xdr:cNvPr id="2077" name="ExitYearOption_7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11</xdr:row>
          <xdr:rowOff>0</xdr:rowOff>
        </xdr:from>
        <xdr:to>
          <xdr:col>17</xdr:col>
          <xdr:colOff>400050</xdr:colOff>
          <xdr:row>12</xdr:row>
          <xdr:rowOff>19050</xdr:rowOff>
        </xdr:to>
        <xdr:sp macro="" textlink="">
          <xdr:nvSpPr>
            <xdr:cNvPr id="2078" name="ExitYearOption_8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0</xdr:rowOff>
        </xdr:from>
        <xdr:to>
          <xdr:col>17</xdr:col>
          <xdr:colOff>400050</xdr:colOff>
          <xdr:row>13</xdr:row>
          <xdr:rowOff>19050</xdr:rowOff>
        </xdr:to>
        <xdr:sp macro="" textlink="">
          <xdr:nvSpPr>
            <xdr:cNvPr id="2079" name="ExitYearOption_9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13</xdr:row>
          <xdr:rowOff>0</xdr:rowOff>
        </xdr:from>
        <xdr:to>
          <xdr:col>17</xdr:col>
          <xdr:colOff>400050</xdr:colOff>
          <xdr:row>14</xdr:row>
          <xdr:rowOff>19050</xdr:rowOff>
        </xdr:to>
        <xdr:sp macro="" textlink="">
          <xdr:nvSpPr>
            <xdr:cNvPr id="2080" name="ExitYearOption_10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Row],[A Capital Balance]]*ClassAPreferredReturn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2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9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Total Dist" dataDxfId="28">
      <calculatedColumnFormula>WaterfallTable[[#This Row],[B Capital Returned]]+WaterfallTable[[#This Row],[B Residual]]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2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table" Target="../tables/table3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workbookViewId="0">
      <selection activeCell="B43" sqref="B43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4</v>
      </c>
      <c r="C4" s="18" t="s">
        <v>4</v>
      </c>
    </row>
    <row r="5" spans="1:10" x14ac:dyDescent="0.25">
      <c r="A5" s="13" t="s">
        <v>5</v>
      </c>
      <c r="B5" s="15">
        <f>MAX(1,MIN(10,SelectedWaterfallExitOption))</f>
        <v>5</v>
      </c>
      <c r="C5" s="18" t="s">
        <v>318</v>
      </c>
    </row>
    <row r="6" spans="1:10" x14ac:dyDescent="0.25">
      <c r="A6" s="13"/>
      <c r="B6" s="13"/>
      <c r="C6" s="13"/>
    </row>
    <row r="7" spans="1:10" x14ac:dyDescent="0.25">
      <c r="A7" s="21" t="s">
        <v>6</v>
      </c>
      <c r="B7" s="13"/>
      <c r="C7" s="13"/>
      <c r="D7" s="64" t="s">
        <v>286</v>
      </c>
      <c r="E7" s="64"/>
      <c r="F7" s="64"/>
      <c r="G7" s="64"/>
      <c r="H7" s="64"/>
      <c r="I7" s="64"/>
      <c r="J7" s="64"/>
    </row>
    <row r="8" spans="1:10" x14ac:dyDescent="0.25">
      <c r="A8" s="13" t="s">
        <v>7</v>
      </c>
      <c r="B8" s="15">
        <v>4</v>
      </c>
      <c r="C8" s="18" t="s">
        <v>8</v>
      </c>
      <c r="D8" s="38" t="s">
        <v>294</v>
      </c>
      <c r="E8" s="38" t="s">
        <v>109</v>
      </c>
      <c r="F8" s="38" t="s">
        <v>290</v>
      </c>
      <c r="G8" s="38" t="s">
        <v>122</v>
      </c>
      <c r="H8" s="38" t="s">
        <v>295</v>
      </c>
      <c r="I8" s="38" t="s">
        <v>296</v>
      </c>
      <c r="J8" s="38" t="s">
        <v>297</v>
      </c>
    </row>
    <row r="9" spans="1:10" x14ac:dyDescent="0.25">
      <c r="A9" s="13" t="s">
        <v>9</v>
      </c>
      <c r="B9" s="13">
        <v>1600</v>
      </c>
      <c r="C9" s="18" t="s">
        <v>291</v>
      </c>
      <c r="D9" s="39" t="s">
        <v>287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298</v>
      </c>
      <c r="J9" s="39"/>
    </row>
    <row r="10" spans="1:10" x14ac:dyDescent="0.25">
      <c r="A10" s="13" t="s">
        <v>10</v>
      </c>
      <c r="B10" s="15">
        <v>4</v>
      </c>
      <c r="C10" s="18" t="s">
        <v>11</v>
      </c>
      <c r="D10" s="39" t="s">
        <v>288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298</v>
      </c>
      <c r="J10" s="39"/>
    </row>
    <row r="11" spans="1:10" x14ac:dyDescent="0.25">
      <c r="A11" s="13" t="s">
        <v>12</v>
      </c>
      <c r="B11" s="13">
        <v>1100</v>
      </c>
      <c r="C11" s="18" t="s">
        <v>291</v>
      </c>
      <c r="D11" s="39" t="s">
        <v>289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322</v>
      </c>
      <c r="J11" s="39"/>
    </row>
    <row r="12" spans="1:10" x14ac:dyDescent="0.25">
      <c r="A12" s="13" t="s">
        <v>13</v>
      </c>
      <c r="B12" s="13">
        <v>0</v>
      </c>
      <c r="C12" s="18" t="s">
        <v>14</v>
      </c>
      <c r="D12" s="39" t="s">
        <v>292</v>
      </c>
      <c r="E12" s="40">
        <v>1</v>
      </c>
      <c r="F12" s="40">
        <v>2</v>
      </c>
      <c r="G12" s="40">
        <v>3</v>
      </c>
      <c r="H12" s="40"/>
      <c r="I12" s="39" t="s">
        <v>299</v>
      </c>
      <c r="J12" s="39" t="s">
        <v>300</v>
      </c>
    </row>
    <row r="13" spans="1:10" x14ac:dyDescent="0.25">
      <c r="A13" s="13" t="s">
        <v>15</v>
      </c>
      <c r="B13" s="22">
        <v>0.93</v>
      </c>
      <c r="C13" s="18" t="s">
        <v>16</v>
      </c>
    </row>
    <row r="14" spans="1:10" x14ac:dyDescent="0.25">
      <c r="A14" s="13" t="s">
        <v>17</v>
      </c>
      <c r="B14" s="22">
        <v>0.5</v>
      </c>
      <c r="C14" s="18" t="s">
        <v>18</v>
      </c>
    </row>
    <row r="15" spans="1:10" x14ac:dyDescent="0.25">
      <c r="A15" s="13" t="s">
        <v>19</v>
      </c>
      <c r="B15" s="22">
        <f>SelectedOperatingExpenseRatio</f>
        <v>0.46912485065710868</v>
      </c>
      <c r="C15" s="18" t="s">
        <v>20</v>
      </c>
    </row>
    <row r="16" spans="1:10" x14ac:dyDescent="0.25">
      <c r="A16" s="13" t="s">
        <v>21</v>
      </c>
      <c r="B16" s="22">
        <v>0.03</v>
      </c>
      <c r="C16" s="18" t="s">
        <v>22</v>
      </c>
    </row>
    <row r="17" spans="1:3" x14ac:dyDescent="0.25">
      <c r="A17" s="13" t="s">
        <v>301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321</v>
      </c>
    </row>
    <row r="18" spans="1:3" x14ac:dyDescent="0.25">
      <c r="A18" s="13"/>
      <c r="B18" s="13"/>
      <c r="C18" s="13"/>
    </row>
    <row r="19" spans="1:3" x14ac:dyDescent="0.25">
      <c r="A19" s="21" t="s">
        <v>23</v>
      </c>
      <c r="B19" s="13"/>
      <c r="C19" s="13"/>
    </row>
    <row r="20" spans="1:3" x14ac:dyDescent="0.25">
      <c r="A20" s="13" t="s">
        <v>244</v>
      </c>
      <c r="B20" s="13">
        <v>119000</v>
      </c>
      <c r="C20" s="18" t="s">
        <v>245</v>
      </c>
    </row>
    <row r="21" spans="1:3" x14ac:dyDescent="0.25">
      <c r="A21" s="13" t="s">
        <v>246</v>
      </c>
      <c r="B21" s="24">
        <v>3.2500000000000001E-2</v>
      </c>
      <c r="C21" s="18" t="s">
        <v>247</v>
      </c>
    </row>
    <row r="22" spans="1:3" x14ac:dyDescent="0.25">
      <c r="A22" s="13" t="s">
        <v>24</v>
      </c>
      <c r="B22" s="13">
        <v>75000</v>
      </c>
      <c r="C22" s="18" t="s">
        <v>25</v>
      </c>
    </row>
    <row r="23" spans="1:3" x14ac:dyDescent="0.25">
      <c r="A23" s="13" t="s">
        <v>26</v>
      </c>
      <c r="B23" s="24">
        <v>0.1</v>
      </c>
      <c r="C23" s="18" t="s">
        <v>27</v>
      </c>
    </row>
    <row r="24" spans="1:3" x14ac:dyDescent="0.25">
      <c r="A24" s="13" t="s">
        <v>28</v>
      </c>
      <c r="B24" s="13">
        <f>_xlfn.SINGLE(ExistingFirstMortgagePrincipal)+PrivateDebtPrincipal</f>
        <v>194000</v>
      </c>
      <c r="C24" s="18" t="s">
        <v>248</v>
      </c>
    </row>
    <row r="25" spans="1:3" x14ac:dyDescent="0.25">
      <c r="A25" s="13" t="s">
        <v>253</v>
      </c>
      <c r="B25" s="13">
        <v>526</v>
      </c>
      <c r="C25" s="18" t="s">
        <v>254</v>
      </c>
    </row>
    <row r="26" spans="1:3" x14ac:dyDescent="0.25">
      <c r="A26" s="13" t="s">
        <v>255</v>
      </c>
      <c r="B26" s="13">
        <f>_xlfn.SINGLE(ExistingFirstMortgageMonthlyPI)*12</f>
        <v>6312</v>
      </c>
      <c r="C26" s="18" t="s">
        <v>256</v>
      </c>
    </row>
    <row r="27" spans="1:3" x14ac:dyDescent="0.25">
      <c r="A27" s="13" t="s">
        <v>249</v>
      </c>
      <c r="B27" s="13">
        <f>PrivateDebtPrincipal*PrivateDebtInterestRate</f>
        <v>7500</v>
      </c>
      <c r="C27" s="18" t="s">
        <v>250</v>
      </c>
    </row>
    <row r="28" spans="1:3" x14ac:dyDescent="0.25">
      <c r="A28" s="13" t="s">
        <v>251</v>
      </c>
      <c r="B28" s="7">
        <f>ExistingFirstMortgageAnnualPayment+PrivateDebtAnnualInterestPayment</f>
        <v>13812</v>
      </c>
      <c r="C28" s="18" t="s">
        <v>252</v>
      </c>
    </row>
    <row r="29" spans="1:3" x14ac:dyDescent="0.25">
      <c r="A29" s="13" t="s">
        <v>260</v>
      </c>
      <c r="B29" s="24">
        <v>0.7</v>
      </c>
      <c r="C29" s="18" t="s">
        <v>261</v>
      </c>
    </row>
    <row r="30" spans="1:3" x14ac:dyDescent="0.25">
      <c r="A30" s="13" t="s">
        <v>29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30</v>
      </c>
    </row>
    <row r="31" spans="1:3" x14ac:dyDescent="0.25">
      <c r="A31" s="13" t="s">
        <v>31</v>
      </c>
      <c r="B31" s="13">
        <f>MAX(0,RefinanceLoanAmount-TotalExistingDebt)</f>
        <v>538276.44000000006</v>
      </c>
      <c r="C31" s="18" t="s">
        <v>32</v>
      </c>
    </row>
    <row r="32" spans="1:3" x14ac:dyDescent="0.25">
      <c r="A32" s="13" t="s">
        <v>33</v>
      </c>
      <c r="B32" s="13">
        <f>MAX(0,RefinanceLoanAmount-TotalExistingDebt-ClassACapital)</f>
        <v>238276.44000000006</v>
      </c>
      <c r="C32" s="18" t="s">
        <v>34</v>
      </c>
    </row>
    <row r="33" spans="1:3" x14ac:dyDescent="0.25">
      <c r="A33" s="13" t="s">
        <v>35</v>
      </c>
      <c r="B33" s="24">
        <v>6.5000000000000002E-2</v>
      </c>
      <c r="C33" s="18" t="s">
        <v>36</v>
      </c>
    </row>
    <row r="34" spans="1:3" x14ac:dyDescent="0.25">
      <c r="A34" s="13" t="s">
        <v>37</v>
      </c>
      <c r="B34" s="15">
        <v>30</v>
      </c>
      <c r="C34" s="18" t="s">
        <v>38</v>
      </c>
    </row>
    <row r="35" spans="1:3" x14ac:dyDescent="0.25">
      <c r="A35" s="13" t="s">
        <v>39</v>
      </c>
      <c r="B35" s="24">
        <v>7.0000000000000007E-2</v>
      </c>
      <c r="C35" s="18" t="s">
        <v>40</v>
      </c>
    </row>
    <row r="36" spans="1:3" x14ac:dyDescent="0.25">
      <c r="A36" s="13" t="s">
        <v>41</v>
      </c>
      <c r="B36" s="24">
        <v>0.02</v>
      </c>
      <c r="C36" s="13" t="s">
        <v>42</v>
      </c>
    </row>
    <row r="37" spans="1:3" x14ac:dyDescent="0.25">
      <c r="A37" s="21"/>
      <c r="B37" s="13"/>
      <c r="C37" s="13"/>
    </row>
    <row r="38" spans="1:3" x14ac:dyDescent="0.25">
      <c r="A38" s="13" t="s">
        <v>43</v>
      </c>
      <c r="B38" s="13"/>
      <c r="C38" s="18"/>
    </row>
    <row r="39" spans="1:3" x14ac:dyDescent="0.25">
      <c r="A39" s="13" t="s">
        <v>44</v>
      </c>
      <c r="B39" s="13">
        <v>300000</v>
      </c>
      <c r="C39" s="18" t="s">
        <v>45</v>
      </c>
    </row>
    <row r="40" spans="1:3" x14ac:dyDescent="0.25">
      <c r="A40" s="13" t="s">
        <v>46</v>
      </c>
      <c r="B40" s="24">
        <v>0.08</v>
      </c>
      <c r="C40" s="18" t="s">
        <v>47</v>
      </c>
    </row>
    <row r="41" spans="1:3" x14ac:dyDescent="0.25">
      <c r="A41" s="13" t="s">
        <v>48</v>
      </c>
      <c r="B41" s="13">
        <f>MAX(0,SelectedProjectCost-ClassACapital)</f>
        <v>597500</v>
      </c>
      <c r="C41" s="18" t="s">
        <v>262</v>
      </c>
    </row>
    <row r="42" spans="1:3" x14ac:dyDescent="0.25">
      <c r="A42" s="13" t="s">
        <v>49</v>
      </c>
      <c r="B42" s="13">
        <v>1</v>
      </c>
      <c r="C42" s="18" t="s">
        <v>50</v>
      </c>
    </row>
    <row r="43" spans="1:3" x14ac:dyDescent="0.25">
      <c r="A43" s="13" t="s">
        <v>52</v>
      </c>
      <c r="B43" s="30">
        <v>0.4</v>
      </c>
      <c r="C43" s="18" t="s">
        <v>264</v>
      </c>
    </row>
    <row r="44" spans="1:3" x14ac:dyDescent="0.25">
      <c r="A44" s="13" t="s">
        <v>263</v>
      </c>
      <c r="B44" s="30">
        <f>(1-SponsorResidualShare)*(ClassACapital/(ClassACapital+ClassBCapital))</f>
        <v>0.20055710306406685</v>
      </c>
      <c r="C44" s="18" t="s">
        <v>265</v>
      </c>
    </row>
    <row r="45" spans="1:3" x14ac:dyDescent="0.25">
      <c r="A45" s="13" t="s">
        <v>51</v>
      </c>
      <c r="B45" s="30">
        <f>(1-SponsorResidualShare)*(ClassBCapital/(ClassACapital+ClassBCapital))</f>
        <v>0.39944289693593316</v>
      </c>
      <c r="C45" s="18" t="s">
        <v>266</v>
      </c>
    </row>
    <row r="46" spans="1:3" x14ac:dyDescent="0.25">
      <c r="A46" s="13" t="s">
        <v>276</v>
      </c>
      <c r="B46" s="13">
        <v>150000</v>
      </c>
      <c r="C46" s="13" t="s">
        <v>277</v>
      </c>
    </row>
    <row r="47" spans="1:3" x14ac:dyDescent="0.25">
      <c r="A47" s="13" t="s">
        <v>311</v>
      </c>
      <c r="B47" s="13">
        <v>125000</v>
      </c>
      <c r="C47" s="13" t="s">
        <v>312</v>
      </c>
    </row>
    <row r="48" spans="1:3" x14ac:dyDescent="0.25">
      <c r="A48" s="13" t="s">
        <v>53</v>
      </c>
      <c r="B48" s="62" t="s">
        <v>54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65" t="s">
        <v>55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56</v>
      </c>
      <c r="B3" s="25" t="s">
        <v>57</v>
      </c>
      <c r="C3" s="25" t="s">
        <v>58</v>
      </c>
      <c r="D3" s="25" t="s">
        <v>319</v>
      </c>
      <c r="E3" s="25" t="s">
        <v>59</v>
      </c>
      <c r="F3" s="25" t="s">
        <v>60</v>
      </c>
      <c r="G3" s="25" t="s">
        <v>61</v>
      </c>
      <c r="H3" s="25" t="s">
        <v>320</v>
      </c>
      <c r="I3" s="25" t="s">
        <v>269</v>
      </c>
      <c r="J3" s="25" t="s">
        <v>325</v>
      </c>
      <c r="K3" s="25" t="s">
        <v>326</v>
      </c>
      <c r="L3" s="25" t="s">
        <v>257</v>
      </c>
      <c r="M3" s="25" t="s">
        <v>258</v>
      </c>
      <c r="N3" s="25" t="s">
        <v>259</v>
      </c>
      <c r="O3" s="25" t="s">
        <v>62</v>
      </c>
      <c r="P3" s="25" t="s">
        <v>63</v>
      </c>
    </row>
    <row r="4" spans="1:16" x14ac:dyDescent="0.25">
      <c r="A4" s="13">
        <v>0</v>
      </c>
      <c r="B4" s="13" t="s">
        <v>64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150000</v>
      </c>
      <c r="M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65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66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67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7" s="13">
        <f>IF(AnnualModelTable[[#This Row],[Year]]&gt;SaleExitYear,0,AnnualModelTable[[#This Row],[NOI]]-AnnualModelTable[[#This Row],[Debt Service]])</f>
        <v>57282.8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57282.8</v>
      </c>
      <c r="M7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57282.8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7" s="13">
        <f>IF(AnnualModelTable[[#This Row],[Year]]&gt;SaleExitYear,0,IF(AnnualModelTable[[#This Row],[Year]]&lt;StabilizationRefiYear,0,AnnualModelTable[[#This Row],[NOI]]*(1+NOIGrowth)/ExitCapRate))</f>
        <v>0</v>
      </c>
    </row>
    <row r="8" spans="1:16" x14ac:dyDescent="0.25">
      <c r="A8" s="13">
        <v>4</v>
      </c>
      <c r="B8" s="13" t="s">
        <v>67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8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553829.41735024843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67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67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67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67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67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68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P19" sqref="P19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8" width="10.7109375" style="6" customWidth="1"/>
    <col min="19" max="19" width="14.7109375" style="6" customWidth="1"/>
    <col min="20" max="16384" width="9.140625" style="6"/>
  </cols>
  <sheetData>
    <row r="1" spans="1:19" ht="18.75" x14ac:dyDescent="0.3">
      <c r="A1" s="65" t="s">
        <v>69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268</v>
      </c>
      <c r="D2" s="68"/>
      <c r="E2" s="68"/>
      <c r="F2" s="68"/>
      <c r="G2" s="68"/>
      <c r="H2" s="68"/>
      <c r="I2" s="68"/>
      <c r="J2" s="67" t="s">
        <v>90</v>
      </c>
      <c r="K2" s="68"/>
      <c r="L2" s="68"/>
      <c r="M2" s="68"/>
      <c r="N2" s="69" t="s">
        <v>91</v>
      </c>
      <c r="O2" s="68"/>
      <c r="P2" s="68"/>
      <c r="R2" s="12" t="s">
        <v>317</v>
      </c>
    </row>
    <row r="3" spans="1:19" s="23" customFormat="1" ht="60.75" thickBot="1" x14ac:dyDescent="0.3">
      <c r="A3" s="27" t="s">
        <v>56</v>
      </c>
      <c r="B3" s="27" t="s">
        <v>70</v>
      </c>
      <c r="C3" s="28" t="s">
        <v>306</v>
      </c>
      <c r="D3" s="28" t="s">
        <v>305</v>
      </c>
      <c r="E3" s="28" t="s">
        <v>309</v>
      </c>
      <c r="F3" s="28" t="s">
        <v>307</v>
      </c>
      <c r="G3" s="28" t="s">
        <v>270</v>
      </c>
      <c r="H3" s="28" t="s">
        <v>271</v>
      </c>
      <c r="I3" s="28" t="s">
        <v>310</v>
      </c>
      <c r="J3" s="27" t="s">
        <v>308</v>
      </c>
      <c r="K3" s="27" t="s">
        <v>272</v>
      </c>
      <c r="L3" s="27" t="s">
        <v>273</v>
      </c>
      <c r="M3" s="27" t="s">
        <v>304</v>
      </c>
      <c r="N3" s="29" t="s">
        <v>279</v>
      </c>
      <c r="O3" s="29" t="s">
        <v>280</v>
      </c>
      <c r="P3" s="29" t="s">
        <v>316</v>
      </c>
      <c r="R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5218.2078853046623</v>
      </c>
      <c r="E5" s="13">
        <f>IF(WaterfallTable[[#This Row],[Year]]&gt;SaleExitYear,0,MAX(0,INDEX(WaterfallTable[End of Year Pref Balance],1)+WaterfallTable[[#This Row],[Pref Accrued]]-WaterfallTable[[#This Row],[Pref Paid]]))</f>
        <v>42781.792114695338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5218.2078853046623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50173.320000000007</v>
      </c>
      <c r="E6" s="13">
        <f>IF(WaterfallTable[[#This Row],[Year]]&gt;SaleExitYear,0,MAX(0,INDEX(WaterfallTable[End of Year Pref Balance],2)+WaterfallTable[[#This Row],[Pref Accrued]]-WaterfallTable[[#This Row],[Pref Paid]]))</f>
        <v>16608.472114695323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50173.320000000007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57282.8</v>
      </c>
      <c r="C7" s="13">
        <f>IF(WaterfallTable[[#This Row],[Year]]&gt;SaleExitYear,0,WaterfallTable[[#This Row],[A Capital Balance]]*ClassAPreferredReturn)</f>
        <v>24000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40608.472114695323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300000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16674.32788530468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57282.8</v>
      </c>
      <c r="J7" s="13">
        <f>IF(WaterfallTable[[#This Row],[Year]]&gt;SaleExitYear,0,MAX(0,INDEX(WaterfallTable[B Capital Balance],3)-INDEX(WaterfallTable[B Capital Returned],3)))</f>
        <v>597500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0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553829.41735024843</v>
      </c>
      <c r="C8" s="13">
        <f>IF(WaterfallTable[[#This Row],[Year]]&gt;SaleExitYear,0,WaterfallTable[[#This Row],[A Capital Balance]]*ClassAPreferredReturn)</f>
        <v>22666.053769175625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22666.053769175625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283325.67211469531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283325.67211469531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8" s="13">
        <f>IF(WaterfallTable[[#This Row],[Year]]&gt;SaleExitYear,0,WaterfallTable[[#This Row],[Pref Paid]]+WaterfallTable[[#This Row],[A Capital Returned]]+WaterfallTable[[#This Row],[A Residual]])</f>
        <v>305991.72588387091</v>
      </c>
      <c r="J8" s="13">
        <f>IF(WaterfallTable[[#This Row],[Year]]&gt;SaleExitYear,0,MAX(0,INDEX(WaterfallTable[B Capital Balance],4)-INDEX(WaterfallTable[B Capital Returned],4)))</f>
        <v>597500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247837.69146637747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8" s="13">
        <f>IF(WaterfallTable[[#This Row],[Year]]&gt;SaleExitYear,0,WaterfallTable[[#This Row],[B Capital Returned]]+WaterfallTable[[#This Row],[B Residual]])</f>
        <v>247837.69146637747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138600.53845904474</v>
      </c>
      <c r="I9" s="13">
        <f>IF(WaterfallTable[[#This Row],[Year]]&gt;SaleExitYear,0,WaterfallTable[[#This Row],[Pref Paid]]+WaterfallTable[[#This Row],[A Capital Returned]]+WaterfallTable[[#This Row],[A Residual]])</f>
        <v>138600.53845904474</v>
      </c>
      <c r="J9" s="13">
        <f>IF(WaterfallTable[[#This Row],[Year]]&gt;SaleExitYear,0,MAX(0,INDEX(WaterfallTable[B Capital Balance],5)-INDEX(WaterfallTable[B Capital Returned],5)))</f>
        <v>349662.30853362253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349662.30853362253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276046.07243093074</v>
      </c>
      <c r="M9" s="13">
        <f>IF(WaterfallTable[[#This Row],[Year]]&gt;SaleExitYear,0,WaterfallTable[[#This Row],[B Capital Returned]]+WaterfallTable[[#This Row],[B Residual]])</f>
        <v>625708.38096455322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276431.07392665034</v>
      </c>
      <c r="P9" s="13">
        <f>IF(WaterfallTable[[#This Row],[Year]]&gt;SaleExitYear,0,WaterfallTable[[#This Row],[Property Payment]]+WaterfallTable[[#This Row],[Residual]])</f>
        <v>276431.07392665034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1" s="13">
        <f>IF(WaterfallTable[[#This Row],[Year]]&gt;SaleExitYear,0,WaterfallTable[[#This Row],[Pref Paid]]+WaterfallTable[[#This Row],[A Capital Returned]]+WaterfallTable[[#This Row],[A Residual]])</f>
        <v>0</v>
      </c>
      <c r="J11" s="13">
        <f>IF(WaterfallTable[[#This Row],[Year]]&gt;SaleExitYear,0,MAX(0,INDEX(WaterfallTable[B Capital Balance],7)-INDEX(WaterfallTable[B Capital Returned],7)))</f>
        <v>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1" s="13">
        <f>IF(WaterfallTable[[#This Row],[Year]]&gt;SaleExitYear,0,WaterfallTable[[#This Row],[B Capital Returned]]+WaterfallTable[[#This Row],[B Residual]])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71</v>
      </c>
      <c r="B18" s="58" t="s">
        <v>313</v>
      </c>
      <c r="C18" s="58" t="s">
        <v>314</v>
      </c>
      <c r="D18" s="58" t="s">
        <v>315</v>
      </c>
      <c r="E18" s="58" t="s">
        <v>79</v>
      </c>
      <c r="F18" s="58" t="s">
        <v>80</v>
      </c>
      <c r="G18" s="58" t="s">
        <v>81</v>
      </c>
      <c r="H18" s="58" t="s">
        <v>82</v>
      </c>
      <c r="I18" s="58" t="s">
        <v>83</v>
      </c>
      <c r="J18" s="58" t="s">
        <v>84</v>
      </c>
      <c r="K18" s="58" t="s">
        <v>85</v>
      </c>
      <c r="L18" s="58" t="s">
        <v>86</v>
      </c>
      <c r="M18" s="58" t="s">
        <v>87</v>
      </c>
      <c r="N18" s="58" t="s">
        <v>88</v>
      </c>
      <c r="O18" s="58" t="s">
        <v>303</v>
      </c>
      <c r="P18" s="58" t="s">
        <v>304</v>
      </c>
      <c r="Q18" s="58" t="s">
        <v>75</v>
      </c>
      <c r="R18" s="59" t="s">
        <v>76</v>
      </c>
      <c r="S18" s="58" t="s">
        <v>77</v>
      </c>
    </row>
    <row r="19" spans="1:19" x14ac:dyDescent="0.25">
      <c r="A19" s="49" t="s">
        <v>89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Distribution],MATCH(1,WaterfallTable[Year],0)))</f>
        <v>5218.2078853046623</v>
      </c>
      <c r="F19" s="41">
        <f>IF(2&gt;SaleExitYear,0,INDEX(WaterfallTable[Total Distribution],MATCH(2,WaterfallTable[Year],0)))</f>
        <v>50173.320000000007</v>
      </c>
      <c r="G19" s="41">
        <f>IF(3&gt;SaleExitYear,0,INDEX(WaterfallTable[Total Distribution],MATCH(3,WaterfallTable[Year],0)))</f>
        <v>57282.8</v>
      </c>
      <c r="H19" s="41">
        <f>IF(4&gt;SaleExitYear,0,INDEX(WaterfallTable[Total Distribution],MATCH(4,WaterfallTable[Year],0)))</f>
        <v>305991.72588387091</v>
      </c>
      <c r="I19" s="41">
        <f>IF(5&gt;SaleExitYear,0,INDEX(WaterfallTable[Total Distribution],MATCH(5,WaterfallTable[Year],0)))</f>
        <v>138600.53845904474</v>
      </c>
      <c r="J19" s="41">
        <f>IF(6&gt;SaleExitYear,0,INDEX(WaterfallTable[Total Distribution],MATCH(6,WaterfallTable[Year],0)))</f>
        <v>0</v>
      </c>
      <c r="K19" s="41">
        <f>IF(7&gt;SaleExitYear,0,INDEX(WaterfallTable[Total Distribution],MATCH(7,WaterfallTable[Year],0)))</f>
        <v>0</v>
      </c>
      <c r="L19" s="41">
        <f>IF(8&gt;SaleExitYear,0,INDEX(WaterfallTable[Total Distribution],MATCH(8,WaterfallTable[Year],0)))</f>
        <v>0</v>
      </c>
      <c r="M19" s="41">
        <f>IF(9&gt;SaleExitYear,0,INDEX(WaterfallTable[Total Distribution],MATCH(9,WaterfallTable[Year],0)))</f>
        <v>0</v>
      </c>
      <c r="N19" s="41">
        <f>IF(10&gt;SaleExitYear,0,INDEX(WaterfallTable[Total Distribution],MATCH(10,WaterfallTable[Year],0)))</f>
        <v>0</v>
      </c>
      <c r="O19" s="41">
        <f>SUM(ReturnsTable[[#This Row],[Initial Capitalization]:[Year 10]])</f>
        <v>257266.59222822028</v>
      </c>
      <c r="P19" s="41">
        <f>ReturnsTable[[#This Row],[Total Profit]]+ReturnsTable[[#This Row],[Capital Investment]]</f>
        <v>557266.59222822031</v>
      </c>
      <c r="Q19" s="42">
        <f>IFERROR(ReturnsTable[[#This Row],[Total Dist]]/ReturnsTable[[#This Row],[Capital Investment]],0)</f>
        <v>1.8575553074274009</v>
      </c>
      <c r="R19" s="53">
        <f>IFERROR(ReturnsTable[[#This Row],[Total Profit]]/ReturnsTable[[#This Row],[Capital Investment]],0)</f>
        <v>0.85755530742740094</v>
      </c>
      <c r="S19" s="60">
        <f>IFERROR(IRR(ReturnsTable[[#This Row],[Initial Capitalization]:[Year 10]]),0)</f>
        <v>0.17345939723967674</v>
      </c>
    </row>
    <row r="20" spans="1:19" x14ac:dyDescent="0.25">
      <c r="A20" s="50" t="s">
        <v>90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IF(1&gt;SaleExitYear,0,INDEX(WaterfallTable[Total Dist],MATCH(1,WaterfallTable[Year],0)))</f>
        <v>0</v>
      </c>
      <c r="F20" s="43">
        <f>IF(2&gt;SaleExitYear,0,INDEX(WaterfallTable[Total Dist],MATCH(2,WaterfallTable[Year],0)))</f>
        <v>0</v>
      </c>
      <c r="G20" s="43">
        <f>IF(3&gt;SaleExitYear,0,INDEX(WaterfallTable[Total Dist],MATCH(3,WaterfallTable[Year],0)))</f>
        <v>0</v>
      </c>
      <c r="H20" s="43">
        <f>IF(4&gt;SaleExitYear,0,INDEX(WaterfallTable[Total Dist],MATCH(4,WaterfallTable[Year],0)))</f>
        <v>247837.69146637747</v>
      </c>
      <c r="I20" s="43">
        <f>IF(5&gt;SaleExitYear,0,INDEX(WaterfallTable[Total Dist],MATCH(5,WaterfallTable[Year],0)))</f>
        <v>625708.38096455322</v>
      </c>
      <c r="J20" s="43">
        <f>IF(6&gt;SaleExitYear,0,INDEX(WaterfallTable[Total Dist],MATCH(6,WaterfallTable[Year],0)))</f>
        <v>0</v>
      </c>
      <c r="K20" s="43">
        <f>IF(7&gt;SaleExitYear,0,INDEX(WaterfallTable[Total Dist],MATCH(7,WaterfallTable[Year],0)))</f>
        <v>0</v>
      </c>
      <c r="L20" s="43">
        <f>IF(8&gt;SaleExitYear,0,INDEX(WaterfallTable[Total Dist],MATCH(8,WaterfallTable[Year],0)))</f>
        <v>0</v>
      </c>
      <c r="M20" s="43">
        <f>IF(9&gt;SaleExitYear,0,INDEX(WaterfallTable[Total Dist],MATCH(9,WaterfallTable[Year],0)))</f>
        <v>0</v>
      </c>
      <c r="N20" s="43">
        <f>IF(10&gt;SaleExitYear,0,INDEX(WaterfallTable[Total Dist],MATCH(10,WaterfallTable[Year],0)))</f>
        <v>0</v>
      </c>
      <c r="O20" s="43">
        <f>SUM(ReturnsTable[[#This Row],[Initial Capitalization]:[Year 10]])</f>
        <v>276046.07243093068</v>
      </c>
      <c r="P20" s="43">
        <f>ReturnsTable[[#This Row],[Total Profit]]+ReturnsTable[[#This Row],[Capital Investment]]</f>
        <v>873546.07243093068</v>
      </c>
      <c r="Q20" s="44">
        <f>IFERROR(ReturnsTable[[#This Row],[Total Dist]]/ReturnsTable[[#This Row],[Capital Investment]],0)</f>
        <v>1.4620017948634823</v>
      </c>
      <c r="R20" s="54">
        <f>IFERROR(ReturnsTable[[#This Row],[Total Profit]]/ReturnsTable[[#This Row],[Capital Investment]],0)</f>
        <v>0.46200179486348231</v>
      </c>
      <c r="S20" s="60">
        <f>IFERROR(IRR(ReturnsTable[[#This Row],[Initial Capitalization]:[Year 10]]),0)</f>
        <v>8.4016040624475208E-2</v>
      </c>
    </row>
    <row r="21" spans="1:19" x14ac:dyDescent="0.25">
      <c r="A21" s="51" t="s">
        <v>91</v>
      </c>
      <c r="B21" s="45">
        <f>SponsorCapitalInvestment</f>
        <v>125000</v>
      </c>
      <c r="C21" s="45">
        <f>SponsorBasis</f>
        <v>150000</v>
      </c>
      <c r="D21" s="45">
        <f>INDEX(WaterfallTable[Total Dist2],MATCH(0,WaterfallTable[Year],0))-ReturnsTable[[#This Row],[Capital Investment]]</f>
        <v>25000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276431.07392665034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301431.07392665034</v>
      </c>
      <c r="P21" s="45">
        <f>ReturnsTable[[#This Row],[Total Profit]]+ReturnsTable[[#This Row],[Capital Investment]]</f>
        <v>426431.07392665034</v>
      </c>
      <c r="Q21" s="46">
        <f>IFERROR(ReturnsTable[[#This Row],[Total Dist]]/ReturnsTable[[#This Row],[Capital Investment]],0)</f>
        <v>3.4114485914132029</v>
      </c>
      <c r="R21" s="55">
        <f>IFERROR(ReturnsTable[[#This Row],[Total Profit]]/ReturnsTable[[#This Row],[Capital Investment]],0)</f>
        <v>2.4114485914132029</v>
      </c>
      <c r="S21" s="60">
        <f>IFERROR(IRR(ReturnsTable[[#This Row],[Initial Capitalization]:[Year 10]]),0)</f>
        <v>0</v>
      </c>
    </row>
    <row r="22" spans="1:19" x14ac:dyDescent="0.25">
      <c r="A22" s="52" t="s">
        <v>293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1" r:id="rId4" name="ExitYearOption_1">
              <controlPr defaultSize="0" autoFill="0" autoLine="0" autoPict="0">
                <anchor moveWithCells="1">
                  <from>
                    <xdr:col>17</xdr:col>
                    <xdr:colOff>104775</xdr:colOff>
                    <xdr:row>4</xdr:row>
                    <xdr:rowOff>0</xdr:rowOff>
                  </from>
                  <to>
                    <xdr:col>17</xdr:col>
                    <xdr:colOff>400050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5" name="ExitYearOption_2">
              <controlPr defaultSize="0" autoFill="0" autoLine="0" autoPict="0">
                <anchor moveWithCells="1">
                  <from>
                    <xdr:col>17</xdr:col>
                    <xdr:colOff>104775</xdr:colOff>
                    <xdr:row>5</xdr:row>
                    <xdr:rowOff>0</xdr:rowOff>
                  </from>
                  <to>
                    <xdr:col>17</xdr:col>
                    <xdr:colOff>400050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6" name="ExitYearOption_3">
              <controlPr defaultSize="0" autoFill="0" autoLine="0" autoPict="0">
                <anchor moveWithCells="1">
                  <from>
                    <xdr:col>17</xdr:col>
                    <xdr:colOff>104775</xdr:colOff>
                    <xdr:row>6</xdr:row>
                    <xdr:rowOff>0</xdr:rowOff>
                  </from>
                  <to>
                    <xdr:col>17</xdr:col>
                    <xdr:colOff>400050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7" name="ExitYearOption_4">
              <controlPr defaultSize="0" autoFill="0" autoLine="0" autoPict="0">
                <anchor moveWithCells="1">
                  <from>
                    <xdr:col>17</xdr:col>
                    <xdr:colOff>104775</xdr:colOff>
                    <xdr:row>7</xdr:row>
                    <xdr:rowOff>0</xdr:rowOff>
                  </from>
                  <to>
                    <xdr:col>17</xdr:col>
                    <xdr:colOff>400050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8" name="ExitYearOption_5">
              <controlPr defaultSize="0" autoFill="0" autoLine="0" autoPict="0">
                <anchor moveWithCells="1">
                  <from>
                    <xdr:col>17</xdr:col>
                    <xdr:colOff>104775</xdr:colOff>
                    <xdr:row>8</xdr:row>
                    <xdr:rowOff>0</xdr:rowOff>
                  </from>
                  <to>
                    <xdr:col>17</xdr:col>
                    <xdr:colOff>400050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" name="ExitYearOption_6">
              <controlPr defaultSize="0" autoFill="0" autoLine="0" autoPict="0">
                <anchor moveWithCells="1">
                  <from>
                    <xdr:col>17</xdr:col>
                    <xdr:colOff>104775</xdr:colOff>
                    <xdr:row>9</xdr:row>
                    <xdr:rowOff>0</xdr:rowOff>
                  </from>
                  <to>
                    <xdr:col>17</xdr:col>
                    <xdr:colOff>400050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" name="ExitYearOption_7">
              <controlPr defaultSize="0" autoFill="0" autoLine="0" autoPict="0">
                <anchor moveWithCells="1">
                  <from>
                    <xdr:col>17</xdr:col>
                    <xdr:colOff>104775</xdr:colOff>
                    <xdr:row>10</xdr:row>
                    <xdr:rowOff>0</xdr:rowOff>
                  </from>
                  <to>
                    <xdr:col>17</xdr:col>
                    <xdr:colOff>400050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1" name="ExitYearOption_8">
              <controlPr defaultSize="0" autoFill="0" autoLine="0" autoPict="0">
                <anchor moveWithCells="1">
                  <from>
                    <xdr:col>17</xdr:col>
                    <xdr:colOff>104775</xdr:colOff>
                    <xdr:row>11</xdr:row>
                    <xdr:rowOff>0</xdr:rowOff>
                  </from>
                  <to>
                    <xdr:col>17</xdr:col>
                    <xdr:colOff>400050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2" name="ExitYearOption_9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0</xdr:rowOff>
                  </from>
                  <to>
                    <xdr:col>17</xdr:col>
                    <xdr:colOff>400050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3" name="ExitYearOption_10">
              <controlPr defaultSize="0" autoFill="0" autoLine="0" autoPict="0">
                <anchor moveWithCells="1">
                  <from>
                    <xdr:col>17</xdr:col>
                    <xdr:colOff>104775</xdr:colOff>
                    <xdr:row>13</xdr:row>
                    <xdr:rowOff>0</xdr:rowOff>
                  </from>
                  <to>
                    <xdr:col>17</xdr:col>
                    <xdr:colOff>400050</xdr:colOff>
                    <xdr:row>14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2"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275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71</v>
      </c>
      <c r="B3" s="26" t="s">
        <v>72</v>
      </c>
      <c r="C3" s="26" t="s">
        <v>73</v>
      </c>
      <c r="D3" s="26" t="s">
        <v>74</v>
      </c>
      <c r="E3" s="26" t="s">
        <v>75</v>
      </c>
      <c r="F3" s="26" t="s">
        <v>76</v>
      </c>
      <c r="G3" s="26" t="s">
        <v>77</v>
      </c>
      <c r="H3" s="26" t="s">
        <v>78</v>
      </c>
      <c r="I3" s="26" t="s">
        <v>79</v>
      </c>
      <c r="J3" s="26" t="s">
        <v>80</v>
      </c>
      <c r="K3" s="26" t="s">
        <v>81</v>
      </c>
      <c r="L3" s="26" t="s">
        <v>82</v>
      </c>
      <c r="M3" s="26" t="s">
        <v>83</v>
      </c>
      <c r="N3" s="26" t="s">
        <v>84</v>
      </c>
      <c r="O3" s="26" t="s">
        <v>85</v>
      </c>
      <c r="P3" s="26" t="s">
        <v>86</v>
      </c>
      <c r="Q3" s="26" t="s">
        <v>87</v>
      </c>
      <c r="R3" s="26" t="s">
        <v>88</v>
      </c>
    </row>
    <row r="4" spans="1:20" x14ac:dyDescent="0.25">
      <c r="A4" s="13" t="s">
        <v>89</v>
      </c>
      <c r="B4" s="13">
        <f>ClassACapital</f>
        <v>300000</v>
      </c>
      <c r="C4" s="13">
        <f>SUM(Waterfall!$I$4:$I$14)</f>
        <v>557266.59222822031</v>
      </c>
      <c r="D4" s="13">
        <f>C4-B4</f>
        <v>257266.59222822031</v>
      </c>
      <c r="E4" s="13">
        <f>IFERROR(C4/B4,0)</f>
        <v>1.8575553074274009</v>
      </c>
      <c r="F4" s="24">
        <f>IFERROR(D4/B4,0)</f>
        <v>0.85755530742740105</v>
      </c>
      <c r="G4" s="24">
        <f>IRR(H4:R4)</f>
        <v>0.17345939723967674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57282.8</v>
      </c>
      <c r="L4" s="13">
        <f>INDEX(Waterfall!$I$4:$I$14,MATCH(4,Waterfall!$A$4:$A$14,0))</f>
        <v>305991.72588387091</v>
      </c>
      <c r="M4" s="13">
        <f>INDEX(Waterfall!$I$4:$I$14,MATCH(5,Waterfall!$A$4:$A$14,0))</f>
        <v>138600.53845904474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90</v>
      </c>
      <c r="B5" s="13">
        <f>ClassBCapital</f>
        <v>597500</v>
      </c>
      <c r="C5" s="13">
        <f>SUM(Waterfall!$M$4:$M$14)</f>
        <v>873546.07243093068</v>
      </c>
      <c r="D5" s="13">
        <f>C5-B5</f>
        <v>276046.07243093068</v>
      </c>
      <c r="E5" s="13">
        <f>IFERROR(C5/B5,0)</f>
        <v>1.4620017948634823</v>
      </c>
      <c r="F5" s="24">
        <f>IFERROR(D5/B5,0)</f>
        <v>0.46200179486348231</v>
      </c>
      <c r="G5" s="24">
        <f>IFERROR(IRR(H5:R5),0)</f>
        <v>8.4016040624475208E-2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0</v>
      </c>
      <c r="L5" s="13">
        <f>INDEX(Waterfall!$M$4:$M$14,MATCH(4,Waterfall!$A$4:$A$14,0))</f>
        <v>247837.69146637747</v>
      </c>
      <c r="M5" s="13">
        <f>INDEX(Waterfall!$M$4:$M$14,MATCH(5,Waterfall!$A$4:$A$14,0))</f>
        <v>625708.38096455322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91</v>
      </c>
      <c r="B6" s="13">
        <f>SponsorBasis</f>
        <v>150000</v>
      </c>
      <c r="C6" s="13">
        <f>SUM(Waterfall!$P$4:$P$14)</f>
        <v>426431.07392665034</v>
      </c>
      <c r="D6" s="13">
        <f>C6-B6</f>
        <v>276431.07392665034</v>
      </c>
      <c r="E6" s="13">
        <f>IFERROR(C6/B6,0)</f>
        <v>2.8428738261776689</v>
      </c>
      <c r="F6" s="24">
        <f>IFERROR(D6/B6,0)</f>
        <v>1.8428738261776689</v>
      </c>
      <c r="G6" s="24">
        <f>IFERROR(IRR(H6:R6),0)</f>
        <v>0.13005380094565577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276431.07392665034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92</v>
      </c>
      <c r="B9" s="62" t="s">
        <v>267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93</v>
      </c>
      <c r="B1" s="2"/>
    </row>
    <row r="2" spans="1:2" x14ac:dyDescent="0.25">
      <c r="A2" s="2"/>
      <c r="B2" s="2"/>
    </row>
    <row r="3" spans="1:2" x14ac:dyDescent="0.25">
      <c r="A3" s="4" t="s">
        <v>94</v>
      </c>
      <c r="B3" s="2" t="s">
        <v>95</v>
      </c>
    </row>
    <row r="4" spans="1:2" x14ac:dyDescent="0.25">
      <c r="A4" s="4" t="s">
        <v>96</v>
      </c>
      <c r="B4" s="2" t="s">
        <v>97</v>
      </c>
    </row>
    <row r="5" spans="1:2" x14ac:dyDescent="0.25">
      <c r="A5" s="4" t="s">
        <v>89</v>
      </c>
      <c r="B5" s="2" t="s">
        <v>98</v>
      </c>
    </row>
    <row r="6" spans="1:2" x14ac:dyDescent="0.25">
      <c r="A6" s="4" t="s">
        <v>90</v>
      </c>
      <c r="B6" s="2" t="s">
        <v>99</v>
      </c>
    </row>
    <row r="7" spans="1:2" x14ac:dyDescent="0.25">
      <c r="A7" s="4" t="s">
        <v>91</v>
      </c>
      <c r="B7" s="2" t="s">
        <v>100</v>
      </c>
    </row>
    <row r="8" spans="1:2" x14ac:dyDescent="0.25">
      <c r="A8" s="4" t="s">
        <v>101</v>
      </c>
      <c r="B8" s="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103</v>
      </c>
      <c r="B1" s="13"/>
      <c r="C1" s="13"/>
    </row>
    <row r="2" spans="1:10" x14ac:dyDescent="0.25">
      <c r="A2" s="13" t="s">
        <v>104</v>
      </c>
      <c r="B2" s="71" t="s">
        <v>105</v>
      </c>
      <c r="C2" s="63"/>
      <c r="D2" s="63"/>
    </row>
    <row r="3" spans="1:10" x14ac:dyDescent="0.25">
      <c r="A3" s="13" t="s">
        <v>106</v>
      </c>
      <c r="B3" s="71" t="s">
        <v>107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108</v>
      </c>
      <c r="C6" s="31" t="s">
        <v>109</v>
      </c>
      <c r="D6" s="5"/>
      <c r="E6" s="5"/>
      <c r="F6" s="5"/>
    </row>
    <row r="7" spans="1:10" ht="15.75" thickBot="1" x14ac:dyDescent="0.3">
      <c r="A7" s="12" t="s">
        <v>110</v>
      </c>
      <c r="B7" s="36" t="s">
        <v>281</v>
      </c>
      <c r="C7" s="36" t="s">
        <v>122</v>
      </c>
      <c r="E7" s="31" t="s">
        <v>111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112</v>
      </c>
      <c r="B8" s="32">
        <f>B27</f>
        <v>897500</v>
      </c>
      <c r="C8" s="33">
        <f>C27</f>
        <v>1635000</v>
      </c>
      <c r="E8" s="31" t="s">
        <v>113</v>
      </c>
      <c r="F8" s="13"/>
      <c r="H8" s="7" t="b">
        <f>$E$8="Sponsor-Controlled"</f>
        <v>1</v>
      </c>
    </row>
    <row r="9" spans="1:10" ht="15.75" thickBot="1" x14ac:dyDescent="0.3">
      <c r="A9" s="13" t="s">
        <v>114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115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116</v>
      </c>
      <c r="B12" s="14" t="s">
        <v>117</v>
      </c>
      <c r="C12" s="14" t="s">
        <v>118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119</v>
      </c>
      <c r="B14" s="13">
        <f>$G$10/5000</f>
        <v>179.5</v>
      </c>
      <c r="C14" s="13"/>
    </row>
    <row r="15" spans="1:10" x14ac:dyDescent="0.25">
      <c r="A15" s="6" t="s">
        <v>120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121</v>
      </c>
      <c r="B17" s="12" t="s">
        <v>109</v>
      </c>
      <c r="C17" s="12" t="s">
        <v>122</v>
      </c>
    </row>
    <row r="18" spans="1:3" x14ac:dyDescent="0.25">
      <c r="A18" s="5" t="s">
        <v>278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123</v>
      </c>
      <c r="B19" s="13">
        <v>75000</v>
      </c>
      <c r="C19" s="13">
        <v>175000</v>
      </c>
    </row>
    <row r="20" spans="1:3" x14ac:dyDescent="0.25">
      <c r="A20" s="6" t="s">
        <v>282</v>
      </c>
      <c r="B20" s="13">
        <v>40000</v>
      </c>
      <c r="C20" s="13">
        <v>100000</v>
      </c>
    </row>
    <row r="21" spans="1:3" x14ac:dyDescent="0.25">
      <c r="A21" s="6" t="s">
        <v>283</v>
      </c>
      <c r="B21" s="13">
        <v>7500</v>
      </c>
      <c r="C21" s="13">
        <v>10000</v>
      </c>
    </row>
    <row r="22" spans="1:3" x14ac:dyDescent="0.25">
      <c r="A22" s="6" t="s">
        <v>124</v>
      </c>
      <c r="B22" s="13">
        <v>390000</v>
      </c>
      <c r="C22" s="13">
        <v>610000</v>
      </c>
    </row>
    <row r="23" spans="1:3" x14ac:dyDescent="0.25">
      <c r="A23" s="6" t="s">
        <v>125</v>
      </c>
      <c r="B23" s="13">
        <v>55000</v>
      </c>
      <c r="C23" s="13">
        <v>110000</v>
      </c>
    </row>
    <row r="24" spans="1:3" x14ac:dyDescent="0.25">
      <c r="A24" s="6" t="s">
        <v>126</v>
      </c>
      <c r="B24" s="13">
        <v>90000</v>
      </c>
      <c r="C24" s="13">
        <v>225000</v>
      </c>
    </row>
    <row r="25" spans="1:3" x14ac:dyDescent="0.25">
      <c r="A25" s="6" t="s">
        <v>127</v>
      </c>
      <c r="B25" s="13">
        <v>30000</v>
      </c>
      <c r="C25" s="13">
        <v>100000</v>
      </c>
    </row>
    <row r="26" spans="1:3" ht="15.75" thickBot="1" x14ac:dyDescent="0.3">
      <c r="A26" s="6" t="s">
        <v>128</v>
      </c>
      <c r="B26" s="37">
        <v>60000</v>
      </c>
      <c r="C26" s="37">
        <v>155000</v>
      </c>
    </row>
    <row r="27" spans="1:3" x14ac:dyDescent="0.25">
      <c r="A27" s="8" t="s">
        <v>129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130</v>
      </c>
      <c r="B28" s="11" t="s">
        <v>131</v>
      </c>
      <c r="C28" s="11"/>
    </row>
    <row r="29" spans="1:3" x14ac:dyDescent="0.25">
      <c r="A29" s="13" t="s">
        <v>132</v>
      </c>
      <c r="B29" s="13">
        <f>SelectedProjectCost</f>
        <v>897500</v>
      </c>
      <c r="C29" s="13"/>
    </row>
    <row r="30" spans="1:3" x14ac:dyDescent="0.25">
      <c r="A30" s="13" t="s">
        <v>133</v>
      </c>
      <c r="B30" s="13">
        <f>ClassACapital+ClassBCapital</f>
        <v>897500</v>
      </c>
      <c r="C30" s="13"/>
    </row>
    <row r="31" spans="1:3" x14ac:dyDescent="0.25">
      <c r="A31" s="13" t="s">
        <v>134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135</v>
      </c>
      <c r="B33" s="12" t="s">
        <v>109</v>
      </c>
      <c r="C33" s="12" t="s">
        <v>122</v>
      </c>
    </row>
    <row r="34" spans="1:3" x14ac:dyDescent="0.25">
      <c r="A34" s="10" t="s">
        <v>136</v>
      </c>
      <c r="B34" s="10">
        <v>35000</v>
      </c>
      <c r="C34" s="10">
        <v>90000</v>
      </c>
    </row>
    <row r="35" spans="1:3" x14ac:dyDescent="0.25">
      <c r="A35" s="10" t="s">
        <v>137</v>
      </c>
      <c r="B35" s="10">
        <v>20000</v>
      </c>
      <c r="C35" s="10">
        <v>60000</v>
      </c>
    </row>
    <row r="36" spans="1:3" x14ac:dyDescent="0.25">
      <c r="A36" s="10" t="s">
        <v>138</v>
      </c>
      <c r="B36" s="10">
        <v>20000</v>
      </c>
      <c r="C36" s="10">
        <v>90000</v>
      </c>
    </row>
    <row r="37" spans="1:3" x14ac:dyDescent="0.25">
      <c r="A37" s="10" t="s">
        <v>139</v>
      </c>
      <c r="B37" s="10">
        <v>10000</v>
      </c>
      <c r="C37" s="10">
        <v>30000</v>
      </c>
    </row>
    <row r="38" spans="1:3" x14ac:dyDescent="0.25">
      <c r="A38" s="10" t="s">
        <v>140</v>
      </c>
      <c r="B38" s="10">
        <v>15000</v>
      </c>
      <c r="C38" s="10">
        <v>50000</v>
      </c>
    </row>
    <row r="39" spans="1:3" x14ac:dyDescent="0.25">
      <c r="A39" s="10" t="s">
        <v>141</v>
      </c>
      <c r="B39" s="10">
        <v>15000</v>
      </c>
      <c r="C39" s="10">
        <v>40000</v>
      </c>
    </row>
    <row r="40" spans="1:3" x14ac:dyDescent="0.25">
      <c r="A40" s="10" t="s">
        <v>142</v>
      </c>
      <c r="B40" s="10">
        <v>15000</v>
      </c>
      <c r="C40" s="10">
        <v>45000</v>
      </c>
    </row>
    <row r="41" spans="1:3" x14ac:dyDescent="0.25">
      <c r="A41" s="10" t="s">
        <v>143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144</v>
      </c>
      <c r="B43" s="10" t="s">
        <v>109</v>
      </c>
      <c r="C43" s="10" t="s">
        <v>122</v>
      </c>
    </row>
    <row r="44" spans="1:3" x14ac:dyDescent="0.25">
      <c r="A44" s="10" t="s">
        <v>145</v>
      </c>
      <c r="B44" s="10">
        <v>50000</v>
      </c>
      <c r="C44" s="10">
        <v>150000</v>
      </c>
    </row>
    <row r="45" spans="1:3" x14ac:dyDescent="0.25">
      <c r="A45" s="10" t="s">
        <v>146</v>
      </c>
      <c r="B45" s="10">
        <v>40000</v>
      </c>
      <c r="C45" s="10">
        <v>120000</v>
      </c>
    </row>
    <row r="46" spans="1:3" x14ac:dyDescent="0.25">
      <c r="A46" s="10" t="s">
        <v>147</v>
      </c>
      <c r="B46" s="10">
        <v>25000</v>
      </c>
      <c r="C46" s="10">
        <v>75000</v>
      </c>
    </row>
    <row r="47" spans="1:3" x14ac:dyDescent="0.25">
      <c r="A47" s="10" t="s">
        <v>148</v>
      </c>
      <c r="B47" s="10">
        <v>10000</v>
      </c>
      <c r="C47" s="10">
        <v>30000</v>
      </c>
    </row>
    <row r="48" spans="1:3" x14ac:dyDescent="0.25">
      <c r="A48" s="10" t="s">
        <v>149</v>
      </c>
      <c r="B48" s="10">
        <v>20000</v>
      </c>
      <c r="C48" s="10">
        <v>60000</v>
      </c>
    </row>
    <row r="49" spans="1:4" x14ac:dyDescent="0.25">
      <c r="A49" s="10" t="s">
        <v>150</v>
      </c>
      <c r="B49" s="10">
        <v>40000</v>
      </c>
      <c r="C49" s="10">
        <v>125000</v>
      </c>
    </row>
    <row r="50" spans="1:4" x14ac:dyDescent="0.25">
      <c r="A50" s="10" t="s">
        <v>151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152</v>
      </c>
      <c r="B52" s="10" t="s">
        <v>109</v>
      </c>
      <c r="C52" s="10" t="s">
        <v>122</v>
      </c>
    </row>
    <row r="53" spans="1:4" x14ac:dyDescent="0.25">
      <c r="A53" s="10" t="s">
        <v>153</v>
      </c>
      <c r="B53" s="10">
        <v>1125000</v>
      </c>
      <c r="C53" s="10">
        <v>1950000</v>
      </c>
    </row>
    <row r="54" spans="1:4" x14ac:dyDescent="0.25">
      <c r="A54" s="10" t="s">
        <v>154</v>
      </c>
      <c r="B54" s="10">
        <v>125000</v>
      </c>
      <c r="C54" s="10">
        <v>350000</v>
      </c>
    </row>
    <row r="55" spans="1:4" x14ac:dyDescent="0.25">
      <c r="A55" s="10" t="s">
        <v>155</v>
      </c>
      <c r="B55" s="10">
        <v>35000</v>
      </c>
      <c r="C55" s="10">
        <v>125000</v>
      </c>
    </row>
    <row r="56" spans="1:4" x14ac:dyDescent="0.25">
      <c r="A56" s="10" t="s">
        <v>156</v>
      </c>
      <c r="B56" s="10">
        <v>75000</v>
      </c>
      <c r="C56" s="10">
        <v>300000</v>
      </c>
    </row>
    <row r="57" spans="1:4" x14ac:dyDescent="0.25">
      <c r="A57" s="10" t="s">
        <v>127</v>
      </c>
      <c r="B57" s="10">
        <v>60000</v>
      </c>
      <c r="C57" s="10">
        <v>180000</v>
      </c>
    </row>
    <row r="58" spans="1:4" x14ac:dyDescent="0.25">
      <c r="A58" s="10" t="s">
        <v>157</v>
      </c>
      <c r="B58" s="10">
        <v>145000</v>
      </c>
      <c r="C58" s="10">
        <v>290000</v>
      </c>
    </row>
    <row r="59" spans="1:4" x14ac:dyDescent="0.25">
      <c r="A59" s="10" t="s">
        <v>158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159</v>
      </c>
    </row>
    <row r="62" spans="1:4" x14ac:dyDescent="0.25">
      <c r="A62" s="6" t="s">
        <v>160</v>
      </c>
      <c r="B62" s="63" t="s">
        <v>161</v>
      </c>
      <c r="C62" s="63"/>
      <c r="D62" s="63"/>
    </row>
    <row r="65" spans="1:7" x14ac:dyDescent="0.25">
      <c r="A65" s="12" t="s">
        <v>162</v>
      </c>
    </row>
    <row r="66" spans="1:7" x14ac:dyDescent="0.25">
      <c r="A66" s="6" t="s">
        <v>163</v>
      </c>
      <c r="B66" s="6" t="s">
        <v>164</v>
      </c>
      <c r="C66" s="63" t="s">
        <v>165</v>
      </c>
      <c r="D66" s="63"/>
      <c r="E66" s="63"/>
      <c r="F66" s="63"/>
      <c r="G66" s="63"/>
    </row>
    <row r="67" spans="1:7" x14ac:dyDescent="0.25">
      <c r="A67" s="6" t="s">
        <v>166</v>
      </c>
      <c r="B67" s="6" t="s">
        <v>164</v>
      </c>
      <c r="C67" s="63" t="s">
        <v>165</v>
      </c>
      <c r="D67" s="63"/>
      <c r="E67" s="63"/>
      <c r="F67" s="63"/>
      <c r="G67" s="63"/>
    </row>
    <row r="68" spans="1:7" x14ac:dyDescent="0.25">
      <c r="A68" s="6" t="s">
        <v>167</v>
      </c>
      <c r="B68" s="6" t="s">
        <v>164</v>
      </c>
      <c r="C68" s="63" t="s">
        <v>165</v>
      </c>
      <c r="D68" s="63"/>
      <c r="E68" s="63"/>
      <c r="F68" s="63"/>
      <c r="G68" s="63"/>
    </row>
    <row r="69" spans="1:7" x14ac:dyDescent="0.25">
      <c r="A69" s="6" t="s">
        <v>168</v>
      </c>
      <c r="B69" s="6" t="s">
        <v>164</v>
      </c>
      <c r="C69" s="63" t="s">
        <v>165</v>
      </c>
      <c r="D69" s="63"/>
      <c r="E69" s="63"/>
      <c r="F69" s="63"/>
      <c r="G69" s="63"/>
    </row>
    <row r="70" spans="1:7" x14ac:dyDescent="0.25">
      <c r="A70" s="6" t="s">
        <v>169</v>
      </c>
      <c r="B70" s="6" t="s">
        <v>170</v>
      </c>
      <c r="C70" s="63" t="s">
        <v>171</v>
      </c>
      <c r="D70" s="63"/>
      <c r="E70" s="63"/>
      <c r="F70" s="63"/>
      <c r="G70" s="63"/>
    </row>
    <row r="71" spans="1:7" x14ac:dyDescent="0.25">
      <c r="A71" s="6" t="s">
        <v>172</v>
      </c>
      <c r="B71" s="6" t="s">
        <v>164</v>
      </c>
      <c r="C71" s="63" t="s">
        <v>173</v>
      </c>
      <c r="D71" s="63"/>
      <c r="E71" s="63"/>
      <c r="F71" s="63"/>
      <c r="G71" s="63"/>
    </row>
    <row r="72" spans="1:7" x14ac:dyDescent="0.25">
      <c r="A72" s="6" t="s">
        <v>174</v>
      </c>
      <c r="B72" s="6" t="s">
        <v>164</v>
      </c>
      <c r="C72" s="63" t="s">
        <v>175</v>
      </c>
      <c r="D72" s="63"/>
      <c r="E72" s="63"/>
      <c r="F72" s="63"/>
      <c r="G72" s="63"/>
    </row>
    <row r="73" spans="1:7" x14ac:dyDescent="0.25">
      <c r="A73" s="6" t="s">
        <v>176</v>
      </c>
      <c r="B73" s="6" t="s">
        <v>164</v>
      </c>
      <c r="C73" s="63" t="s">
        <v>177</v>
      </c>
      <c r="D73" s="63"/>
      <c r="E73" s="63"/>
      <c r="F73" s="63"/>
      <c r="G73" s="63"/>
    </row>
    <row r="75" spans="1:7" x14ac:dyDescent="0.25">
      <c r="A75" s="5" t="s">
        <v>178</v>
      </c>
    </row>
    <row r="76" spans="1:7" x14ac:dyDescent="0.25">
      <c r="A76" s="6" t="s">
        <v>179</v>
      </c>
      <c r="B76" s="6" t="s">
        <v>164</v>
      </c>
      <c r="C76" s="63" t="s">
        <v>180</v>
      </c>
      <c r="D76" s="63"/>
      <c r="E76" s="63"/>
      <c r="F76" s="63"/>
      <c r="G76" s="63"/>
    </row>
    <row r="77" spans="1:7" x14ac:dyDescent="0.25">
      <c r="A77" s="6" t="s">
        <v>181</v>
      </c>
      <c r="B77" s="6" t="s">
        <v>170</v>
      </c>
    </row>
    <row r="78" spans="1:7" x14ac:dyDescent="0.25">
      <c r="A78" s="6" t="s">
        <v>182</v>
      </c>
      <c r="B78" s="6" t="s">
        <v>170</v>
      </c>
    </row>
    <row r="79" spans="1:7" x14ac:dyDescent="0.25">
      <c r="A79" s="6" t="s">
        <v>183</v>
      </c>
      <c r="B79" s="6" t="s">
        <v>170</v>
      </c>
    </row>
    <row r="80" spans="1:7" x14ac:dyDescent="0.25">
      <c r="A80" s="6" t="s">
        <v>184</v>
      </c>
      <c r="B80" s="6" t="s">
        <v>170</v>
      </c>
    </row>
    <row r="81" spans="1:7" x14ac:dyDescent="0.25">
      <c r="A81" s="6" t="s">
        <v>185</v>
      </c>
      <c r="B81" s="6" t="s">
        <v>164</v>
      </c>
      <c r="C81" s="63" t="s">
        <v>186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187</v>
      </c>
      <c r="B1" s="5"/>
      <c r="C1" s="5"/>
    </row>
    <row r="3" spans="1:9" x14ac:dyDescent="0.25">
      <c r="A3" s="5" t="s">
        <v>188</v>
      </c>
      <c r="B3" s="5"/>
      <c r="C3" s="5"/>
    </row>
    <row r="4" spans="1:9" x14ac:dyDescent="0.25">
      <c r="A4" t="s">
        <v>189</v>
      </c>
      <c r="C4" t="s">
        <v>190</v>
      </c>
      <c r="I4" t="b">
        <v>1</v>
      </c>
    </row>
    <row r="5" spans="1:9" x14ac:dyDescent="0.25">
      <c r="A5" t="s">
        <v>191</v>
      </c>
      <c r="B5" s="1">
        <v>0.4</v>
      </c>
      <c r="C5" t="s">
        <v>192</v>
      </c>
    </row>
    <row r="6" spans="1:9" ht="15.75" thickBot="1" x14ac:dyDescent="0.3">
      <c r="A6" t="s">
        <v>193</v>
      </c>
      <c r="B6" s="1">
        <f>IFERROR(B36/B10,0)</f>
        <v>0.46912485065710868</v>
      </c>
      <c r="C6" t="s">
        <v>194</v>
      </c>
    </row>
    <row r="7" spans="1:9" ht="15.75" thickBot="1" x14ac:dyDescent="0.3">
      <c r="A7" s="16" t="s">
        <v>19</v>
      </c>
      <c r="B7" s="17">
        <f>IF(I4,B6,B5)</f>
        <v>0.46912485065710868</v>
      </c>
      <c r="C7" t="s">
        <v>195</v>
      </c>
    </row>
    <row r="9" spans="1:9" x14ac:dyDescent="0.25">
      <c r="A9" s="5" t="s">
        <v>196</v>
      </c>
      <c r="B9" s="5"/>
      <c r="C9" s="5"/>
    </row>
    <row r="10" spans="1:9" x14ac:dyDescent="0.25">
      <c r="A10" t="s">
        <v>197</v>
      </c>
      <c r="B10" s="2">
        <f>StabilizedMonthlyGrossRent*12*StabilizedOccupancy</f>
        <v>133920</v>
      </c>
      <c r="C10" t="s">
        <v>198</v>
      </c>
    </row>
    <row r="11" spans="1:9" x14ac:dyDescent="0.25">
      <c r="B11" s="2"/>
    </row>
    <row r="12" spans="1:9" x14ac:dyDescent="0.25">
      <c r="A12" s="5" t="s">
        <v>199</v>
      </c>
      <c r="B12" s="7" t="s">
        <v>200</v>
      </c>
      <c r="C12" s="5" t="s">
        <v>201</v>
      </c>
    </row>
    <row r="13" spans="1:9" x14ac:dyDescent="0.25">
      <c r="A13" t="s">
        <v>202</v>
      </c>
      <c r="B13" s="9">
        <v>7000</v>
      </c>
      <c r="C13" t="s">
        <v>203</v>
      </c>
    </row>
    <row r="14" spans="1:9" x14ac:dyDescent="0.25">
      <c r="A14" t="s">
        <v>284</v>
      </c>
      <c r="B14" s="9">
        <v>4350</v>
      </c>
      <c r="C14" t="s">
        <v>285</v>
      </c>
    </row>
    <row r="15" spans="1:9" x14ac:dyDescent="0.25">
      <c r="A15" t="s">
        <v>204</v>
      </c>
      <c r="B15" s="9">
        <f>D15*B10</f>
        <v>8035.2</v>
      </c>
      <c r="C15" t="s">
        <v>302</v>
      </c>
      <c r="D15" s="19">
        <v>0.06</v>
      </c>
    </row>
    <row r="16" spans="1:9" x14ac:dyDescent="0.25">
      <c r="A16" t="s">
        <v>205</v>
      </c>
      <c r="B16" s="9">
        <f>600*12</f>
        <v>7200</v>
      </c>
      <c r="C16" t="s">
        <v>206</v>
      </c>
    </row>
    <row r="17" spans="1:3" x14ac:dyDescent="0.25">
      <c r="A17" t="s">
        <v>207</v>
      </c>
      <c r="B17" s="9">
        <v>500</v>
      </c>
      <c r="C17" t="s">
        <v>208</v>
      </c>
    </row>
    <row r="18" spans="1:3" x14ac:dyDescent="0.25">
      <c r="A18" t="s">
        <v>209</v>
      </c>
      <c r="B18" s="9">
        <v>2400</v>
      </c>
      <c r="C18" t="s">
        <v>210</v>
      </c>
    </row>
    <row r="19" spans="1:3" x14ac:dyDescent="0.25">
      <c r="A19" t="s">
        <v>211</v>
      </c>
      <c r="B19" s="9">
        <v>1800</v>
      </c>
      <c r="C19" t="s">
        <v>212</v>
      </c>
    </row>
    <row r="20" spans="1:3" x14ac:dyDescent="0.25">
      <c r="A20" t="s">
        <v>323</v>
      </c>
      <c r="B20" s="9">
        <v>9000</v>
      </c>
      <c r="C20" t="s">
        <v>324</v>
      </c>
    </row>
    <row r="21" spans="1:3" x14ac:dyDescent="0.25">
      <c r="A21" t="s">
        <v>213</v>
      </c>
      <c r="B21" s="9">
        <f>200*8</f>
        <v>1600</v>
      </c>
      <c r="C21" t="s">
        <v>214</v>
      </c>
    </row>
    <row r="22" spans="1:3" x14ac:dyDescent="0.25">
      <c r="A22" t="s">
        <v>215</v>
      </c>
      <c r="B22" s="9">
        <f>90*20</f>
        <v>1800</v>
      </c>
      <c r="C22" t="s">
        <v>216</v>
      </c>
    </row>
    <row r="23" spans="1:3" x14ac:dyDescent="0.25">
      <c r="A23" t="s">
        <v>217</v>
      </c>
      <c r="B23" s="9">
        <v>600</v>
      </c>
      <c r="C23" t="s">
        <v>212</v>
      </c>
    </row>
    <row r="24" spans="1:3" x14ac:dyDescent="0.25">
      <c r="A24" t="s">
        <v>218</v>
      </c>
      <c r="B24" s="9">
        <v>1000</v>
      </c>
      <c r="C24" t="s">
        <v>219</v>
      </c>
    </row>
    <row r="25" spans="1:3" x14ac:dyDescent="0.25">
      <c r="A25" t="s">
        <v>220</v>
      </c>
      <c r="B25" s="9">
        <v>4000</v>
      </c>
      <c r="C25" t="s">
        <v>221</v>
      </c>
    </row>
    <row r="26" spans="1:3" x14ac:dyDescent="0.25">
      <c r="A26" t="s">
        <v>222</v>
      </c>
      <c r="B26" s="2">
        <v>0</v>
      </c>
      <c r="C26" t="s">
        <v>223</v>
      </c>
    </row>
    <row r="27" spans="1:3" x14ac:dyDescent="0.25">
      <c r="A27" t="s">
        <v>224</v>
      </c>
      <c r="B27" s="2">
        <f>120*12</f>
        <v>1440</v>
      </c>
      <c r="C27" t="s">
        <v>225</v>
      </c>
    </row>
    <row r="28" spans="1:3" x14ac:dyDescent="0.25">
      <c r="A28" t="s">
        <v>226</v>
      </c>
      <c r="B28" s="2"/>
      <c r="C28" t="s">
        <v>227</v>
      </c>
    </row>
    <row r="29" spans="1:3" x14ac:dyDescent="0.25">
      <c r="A29" t="s">
        <v>228</v>
      </c>
      <c r="B29" s="2">
        <v>1200</v>
      </c>
      <c r="C29" t="s">
        <v>229</v>
      </c>
    </row>
    <row r="30" spans="1:3" x14ac:dyDescent="0.25">
      <c r="A30" t="s">
        <v>230</v>
      </c>
      <c r="B30" s="2"/>
      <c r="C30" t="s">
        <v>231</v>
      </c>
    </row>
    <row r="31" spans="1:3" x14ac:dyDescent="0.25">
      <c r="A31" t="s">
        <v>232</v>
      </c>
      <c r="B31" s="2">
        <v>2400</v>
      </c>
      <c r="C31" t="s">
        <v>233</v>
      </c>
    </row>
    <row r="32" spans="1:3" x14ac:dyDescent="0.25">
      <c r="A32" t="s">
        <v>234</v>
      </c>
      <c r="B32" s="2">
        <v>1200</v>
      </c>
      <c r="C32" t="s">
        <v>235</v>
      </c>
    </row>
    <row r="33" spans="1:3" x14ac:dyDescent="0.25">
      <c r="A33" t="s">
        <v>236</v>
      </c>
      <c r="B33" s="2">
        <v>800</v>
      </c>
      <c r="C33" t="s">
        <v>237</v>
      </c>
    </row>
    <row r="34" spans="1:3" x14ac:dyDescent="0.25">
      <c r="A34" t="s">
        <v>238</v>
      </c>
      <c r="B34" s="2">
        <v>2500</v>
      </c>
      <c r="C34" t="s">
        <v>239</v>
      </c>
    </row>
    <row r="35" spans="1:3" ht="15.75" thickBot="1" x14ac:dyDescent="0.3">
      <c r="A35" s="5" t="s">
        <v>240</v>
      </c>
      <c r="B35" s="37">
        <v>4000</v>
      </c>
      <c r="C35" s="5" t="s">
        <v>241</v>
      </c>
    </row>
    <row r="36" spans="1:3" x14ac:dyDescent="0.25">
      <c r="A36" s="5" t="s">
        <v>242</v>
      </c>
      <c r="B36" s="7">
        <f>SUM(B13:B35)</f>
        <v>62825.2</v>
      </c>
      <c r="C36" s="5" t="s">
        <v>243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76</vt:i4>
      </vt:variant>
    </vt:vector>
  </HeadingPairs>
  <TitlesOfParts>
    <vt:vector size="83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2026-05-17T01:14:26Z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