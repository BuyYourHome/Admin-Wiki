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2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A4BBA526-6C96-4676-9751-84F42F042115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2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1" i="3" s="1"/>
  <c r="M4" i="3"/>
  <c r="I4" i="3"/>
  <c r="E4" i="3"/>
  <c r="F5" i="3"/>
  <c r="C5" i="3" s="1"/>
  <c r="D14" i="2"/>
  <c r="N22" i="3" s="1"/>
  <c r="G10" i="6"/>
  <c r="B29" i="6" s="1"/>
  <c r="C5" i="2" l="1"/>
  <c r="D5" i="2" s="1"/>
  <c r="E22" i="3" s="1"/>
  <c r="L29" i="8"/>
  <c r="C9" i="2" s="1"/>
  <c r="D9" i="2" s="1"/>
  <c r="I22" i="3" s="1"/>
  <c r="L27" i="8"/>
  <c r="C7" i="2" s="1"/>
  <c r="D7" i="2" s="1"/>
  <c r="G22" i="3" s="1"/>
  <c r="L28" i="8"/>
  <c r="C8" i="2" s="1"/>
  <c r="D8" i="2" s="1"/>
  <c r="H22" i="3" s="1"/>
  <c r="M4" i="2"/>
  <c r="B10" i="7"/>
  <c r="B15" i="7" s="1"/>
  <c r="B41" i="1"/>
  <c r="J4" i="3" s="1"/>
  <c r="J5" i="3" s="1"/>
  <c r="B15" i="6"/>
  <c r="B14" i="6"/>
  <c r="O25" i="8" l="1"/>
  <c r="O22" i="3"/>
  <c r="P22" i="3" s="1"/>
  <c r="B20" i="3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<sst xmlns="http://schemas.openxmlformats.org/spreadsheetml/2006/main" count="441" uniqueCount="378">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</sst>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2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0" fillId="0" borderId="0" xfId="0"/>
    <xf numFmtId="0" fontId="3" fillId="0" borderId="0" xfId="0" applyFont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  <xf numFmtId="0" fontId="0" fillId="0" borderId="0" xfId="0" applyAlignment="1"/>
    <xf numFmtId="0" fontId="3" fillId="0" borderId="0" xfId="0" applyFont="1" applyAlignment="1">
      <alignment horizontal="center" wrapText="1"/>
    </xf>
    <xf numFmtId="0" fontId="10" fillId="0" borderId="0" xfId="0" applyFont="1" applyAlignment="1"/>
    <xf numFmtId="0" fontId="3" fillId="3" borderId="3" xfId="0" applyFont="1" applyFill="1" applyBorder="1" applyAlignment="1"/>
    <xf numFmtId="0" fontId="0" fillId="3" borderId="20" xfId="0" applyFill="1" applyBorder="1" applyAlignment="1"/>
    <xf numFmtId="0" fontId="0" fillId="3" borderId="4" xfId="0" applyFill="1" applyBorder="1" applyAlignment="1"/>
    <xf numFmtId="0" fontId="3" fillId="5" borderId="3" xfId="0" applyFont="1" applyFill="1" applyBorder="1" applyAlignment="1"/>
    <xf numFmtId="0" fontId="0" fillId="5" borderId="20" xfId="0" applyFill="1" applyBorder="1" applyAlignment="1"/>
    <xf numFmtId="0" fontId="0" fillId="5" borderId="4" xfId="0" applyFill="1" applyBorder="1" applyAlignment="1"/>
    <xf numFmtId="3" fontId="0" fillId="5" borderId="0" xfId="0" applyNumberFormat="1" applyFill="1"/>
    <xf numFmtId="9" fontId="0" fillId="5" borderId="0" xfId="0" applyNumberFormat="1" applyFill="1"/>
    <xf numFmtId="0" fontId="3" fillId="4" borderId="3" xfId="0" applyFont="1" applyFill="1" applyBorder="1" applyAlignment="1"/>
    <xf numFmtId="0" fontId="0" fillId="4" borderId="20" xfId="0" applyFill="1" applyBorder="1" applyAlignment="1"/>
    <xf numFmtId="0" fontId="0" fillId="4" borderId="4" xfId="0" applyFill="1" applyBorder="1" applyAlignment="1"/>
    <xf numFmtId="3" fontId="0" fillId="4" borderId="0" xfId="0" applyNumberFormat="1" applyFill="1"/>
    <xf numFmtId="9" fontId="0" fillId="4" borderId="0" xfId="0" applyNumberFormat="1" applyFill="1"/>
    <xf numFmtId="0" fontId="11" fillId="10" borderId="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/>
    </xf>
    <xf numFmtId="0" fontId="3" fillId="8" borderId="3" xfId="0" applyFont="1" applyFill="1" applyBorder="1" applyAlignment="1"/>
    <xf numFmtId="0" fontId="0" fillId="0" borderId="20" xfId="0" applyBorder="1" applyAlignment="1"/>
    <xf numFmtId="0" fontId="0" fillId="0" borderId="4" xfId="0" applyBorder="1" applyAlignment="1"/>
    <xf numFmtId="0" fontId="0" fillId="4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19050</xdr:rowOff>
        </xdr:from>
        <xdr:to>
          <xdr:col>1</xdr:col>
          <xdr:colOff>9525</xdr:colOff>
          <xdr:row>9</xdr:row>
          <xdr:rowOff>9525</xdr:rowOff>
        </xdr:to>
        <xdr:sp macro="" textlink="">
          <xdr:nvSpPr>
            <xdr:cNvPr id="4102" name="OperatingScenarioGroup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6</xdr:row>
          <xdr:rowOff>19050</xdr:rowOff>
        </xdr:from>
        <xdr:to>
          <xdr:col>0</xdr:col>
          <xdr:colOff>495300</xdr:colOff>
          <xdr:row>7</xdr:row>
          <xdr:rowOff>28575</xdr:rowOff>
        </xdr:to>
        <xdr:sp macro="" textlink="">
          <xdr:nvSpPr>
            <xdr:cNvPr id="4103" name="OperatingScenarioOption_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7</xdr:row>
          <xdr:rowOff>19050</xdr:rowOff>
        </xdr:from>
        <xdr:to>
          <xdr:col>0</xdr:col>
          <xdr:colOff>495300</xdr:colOff>
          <xdr:row>8</xdr:row>
          <xdr:rowOff>28575</xdr:rowOff>
        </xdr:to>
        <xdr:sp macro="" textlink="">
          <xdr:nvSpPr>
            <xdr:cNvPr id="4104" name="OperatingScenarioOption_2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8</xdr:row>
          <xdr:rowOff>19050</xdr:rowOff>
        </xdr:from>
        <xdr:to>
          <xdr:col>0</xdr:col>
          <xdr:colOff>495300</xdr:colOff>
          <xdr:row>9</xdr:row>
          <xdr:rowOff>28575</xdr:rowOff>
        </xdr:to>
        <xdr:sp macro="" textlink="">
          <xdr:nvSpPr>
            <xdr:cNvPr id="4105" name="OperatingScenarioOption_3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152400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152400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28575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28575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28575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28575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11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10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9">
      <calculatedColumnFormula>STRScenarioTable[[#This Row],[Base Monthly Gross Rent]]*12</calculatedColumnFormula>
    </tableColumn>
    <tableColumn id="5" xr3:uid="{78A4433F-3E58-4E9D-9594-18B655A1D945}" name="One-Floor STR Weekly Rent" dataDxfId="8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6">
      <calculatedColumnFormula>STRScenarioTable[[#This Row],[Base Annual Gross Rent]]/2</calculatedColumnFormula>
    </tableColumn>
    <tableColumn id="8" xr3:uid="{4D0C595B-3CBB-4CA0-90CF-53E1779DC7DD}" name="One-Floor STR Annual Gross" dataDxfId="5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4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3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1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2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75" dataDxfId="73" headerRowBorderDxfId="74" tableBorderDxfId="72">
  <autoFilter ref="A3:P14" xr:uid="{31008567-CFA1-42A9-9327-0B98502CA80D}"/>
  <tableColumns count="16">
    <tableColumn id="1" xr3:uid="{26936D8D-49BB-4E72-8714-F0F4A39544E1}" name="Year" dataDxfId="71"/>
    <tableColumn id="2" xr3:uid="{C01BD3A8-84A3-4936-AD75-B10875A3A516}" name="Phase" dataDxfId="70"/>
    <tableColumn id="3" xr3:uid="{C3EFC4B8-12CA-4DCA-8610-6334A06443D6}" name="Gross Potential Rent" dataDxfId="69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68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67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66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65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64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63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62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61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60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59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58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57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56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55" dataDxfId="53" headerRowBorderDxfId="54" tableBorderDxfId="52">
  <tableColumns count="16">
    <tableColumn id="1" xr3:uid="{963D327E-2263-47D8-80F9-5A28D9522E50}" name="Year" dataDxfId="51"/>
    <tableColumn id="2" xr3:uid="{DD4D5E48-A253-4495-BAA1-CD03E9DB3287}" name="Cash Available" dataDxfId="50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49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48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47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46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45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44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43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42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41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40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39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38">
      <calculatedColumnFormula>IF(WaterfallTable[[#This Row],[Year]]=0,SponsorPropertyPayment,0)</calculatedColumnFormula>
    </tableColumn>
    <tableColumn id="18" xr3:uid="{1A110274-3485-4D4C-B019-55D770E0C6CE}" name="Residual" dataDxfId="37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36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35" dataDxfId="33" headerRowBorderDxfId="34" tableBorderDxfId="32" totalsRowBorderDxfId="31">
  <tableColumns count="19">
    <tableColumn id="1" xr3:uid="{9D313402-FD1F-4B4A-94AF-A715F76F921A}" name="Participant" dataDxfId="30"/>
    <tableColumn id="2" xr3:uid="{ECA60733-FEA2-401B-8642-71F43FEC8DB9}" name="Capital Investment" dataDxfId="29"/>
    <tableColumn id="3" xr3:uid="{C289E388-4A17-4836-B18C-4492629B2237}" name="Basis / Property Payment" dataDxfId="28"/>
    <tableColumn id="4" xr3:uid="{0E5564FA-0686-41CD-8CE7-39EED6142313}" name="Initial Capitalization" dataDxfId="27">
      <calculatedColumnFormula>C19-B19</calculatedColumnFormula>
    </tableColumn>
    <tableColumn id="5" xr3:uid="{10FF1ED7-A502-4F2E-A54A-B0007AA7263A}" name="Year 1" dataDxfId="26">
      <calculatedColumnFormula>IFERROR(C19/B19,0)</calculatedColumnFormula>
    </tableColumn>
    <tableColumn id="6" xr3:uid="{ECDBC3DC-2987-4B43-8FA8-210E2BD2C527}" name="Year 2" dataDxfId="25">
      <calculatedColumnFormula>IFERROR(D19/B19,0)</calculatedColumnFormula>
    </tableColumn>
    <tableColumn id="7" xr3:uid="{4D05CF9F-BEF3-4687-B36F-4B00680921AC}" name="Year 3" dataDxfId="24"/>
    <tableColumn id="8" xr3:uid="{1C4FC23A-6CAB-4454-ABFA-E8F2BFD21307}" name="Year 4" dataDxfId="23"/>
    <tableColumn id="9" xr3:uid="{65D20829-5C0C-4626-B752-4916A51B8F56}" name="Year 5" dataDxfId="22"/>
    <tableColumn id="10" xr3:uid="{6AB1F3BD-E384-4432-B275-A7608171F178}" name="Year 6" dataDxfId="21"/>
    <tableColumn id="11" xr3:uid="{E6468E2E-5E04-433F-B3E2-FA390BC93337}" name="Year 7" dataDxfId="20"/>
    <tableColumn id="12" xr3:uid="{4FBAC77A-F067-49A4-AC41-AD7EF45A9940}" name="Year 8" dataDxfId="19"/>
    <tableColumn id="13" xr3:uid="{CAEFEDFD-AA12-43AF-B34A-E218E93CEE22}" name="Year 9" dataDxfId="18"/>
    <tableColumn id="14" xr3:uid="{A625364D-066A-437E-8A2D-DD61A8A5CE82}" name="Year 10" dataDxfId="17">
      <calculatedColumnFormula>SUM(ReturnsTable[[#This Row],[Basis / Property Payment]:[Year 9]])</calculatedColumnFormula>
    </tableColumn>
    <tableColumn id="15" xr3:uid="{2F0BFF3E-A3CB-433E-86D2-6AF1360FD5D9}" name="Total Profit" dataDxfId="16">
      <calculatedColumnFormula>SUM(ReturnsTable[[#This Row],[Initial Capitalization]:[Year 10]])</calculatedColumnFormula>
    </tableColumn>
    <tableColumn id="16" xr3:uid="{0A58F701-6416-4538-A6E5-4BF44C4993D5}" name="Total Dist" dataDxfId="15">
      <calculatedColumnFormula>ReturnsTable[[#This Row],[Total Profit]]+ReturnsTable[[#This Row],[Capital Investment]]</calculatedColumnFormula>
    </tableColumn>
    <tableColumn id="17" xr3:uid="{AC84C97B-2616-4869-838B-9557C19186A7}" name="Equity Multiple" dataDxfId="14">
      <calculatedColumnFormula>IFERROR(ReturnsTable[[#This Row],[Total Dist]]/ReturnsTable[[#This Row],[Capital Investment]],0)</calculatedColumnFormula>
    </tableColumn>
    <tableColumn id="18" xr3:uid="{523BC2AE-FDEA-442A-A3C6-B94CA77050FC}" name="ROI %" dataDxfId="13">
      <calculatedColumnFormula>IFERROR(ReturnsTable[[#This Row],[Total Profit]]/ReturnsTable[[#This Row],[Capital Investment]],0)</calculatedColumnFormula>
    </tableColumn>
    <tableColumn id="19" xr3:uid="{EC63B70E-A1AC-4CAB-AE96-294CCFC0512D}" name="IRR" dataDxfId="12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table" Target="../tables/table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abSelected="1" topLeftCell="A3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0" t="s">
        <v>329</v>
      </c>
      <c r="B1" s="78"/>
      <c r="C1" s="78"/>
      <c r="D1" s="78"/>
    </row>
    <row r="2" spans="1:10" ht="15.75" thickBot="1" x14ac:dyDescent="0.3">
      <c r="B2" s="67" t="s">
        <v>333</v>
      </c>
      <c r="C2" s="67"/>
      <c r="D2" s="67"/>
    </row>
    <row r="3" spans="1:10" ht="15.75" thickBot="1" x14ac:dyDescent="0.3">
      <c r="A3" s="5" t="s">
        <v>330</v>
      </c>
      <c r="H3" s="97" t="s">
        <v>372</v>
      </c>
    </row>
    <row r="4" spans="1:10" ht="15.75" thickBot="1" x14ac:dyDescent="0.3">
      <c r="A4" t="s">
        <v>331</v>
      </c>
      <c r="D4" s="98" t="str">
        <f>INDEX($B$7:$B$9,$H$4)</f>
        <v>Whole Building STR</v>
      </c>
      <c r="E4" s="99"/>
      <c r="F4" s="100"/>
      <c r="H4" s="97">
        <v>3</v>
      </c>
    </row>
    <row r="5" spans="1:10" ht="15.75" thickBot="1" x14ac:dyDescent="0.3"/>
    <row r="6" spans="1:10" ht="15.75" thickBot="1" x14ac:dyDescent="0.3">
      <c r="A6" s="12" t="s">
        <v>373</v>
      </c>
      <c r="B6" s="94" t="s">
        <v>374</v>
      </c>
      <c r="C6" s="95"/>
      <c r="D6" s="96"/>
      <c r="E6" s="94" t="s">
        <v>375</v>
      </c>
      <c r="F6" s="95"/>
      <c r="G6" s="95"/>
      <c r="H6" s="95"/>
      <c r="I6" s="95"/>
      <c r="J6" s="96"/>
    </row>
    <row r="7" spans="1:10" ht="15.75" thickBot="1" x14ac:dyDescent="0.3">
      <c r="B7" s="81" t="s">
        <v>332</v>
      </c>
      <c r="C7" s="82"/>
      <c r="D7" s="83"/>
      <c r="E7" s="81" t="s">
        <v>336</v>
      </c>
      <c r="F7" s="82"/>
      <c r="G7" s="82"/>
      <c r="H7" s="82"/>
      <c r="I7" s="82"/>
      <c r="J7" s="83"/>
    </row>
    <row r="8" spans="1:10" ht="15.75" thickBot="1" x14ac:dyDescent="0.3">
      <c r="B8" s="84" t="s">
        <v>334</v>
      </c>
      <c r="C8" s="85"/>
      <c r="D8" s="86"/>
      <c r="E8" s="84" t="s">
        <v>376</v>
      </c>
      <c r="F8" s="85"/>
      <c r="G8" s="85"/>
      <c r="H8" s="85"/>
      <c r="I8" s="85"/>
      <c r="J8" s="86"/>
    </row>
    <row r="9" spans="1:10" ht="15.75" thickBot="1" x14ac:dyDescent="0.3">
      <c r="B9" s="89" t="s">
        <v>335</v>
      </c>
      <c r="C9" s="90"/>
      <c r="D9" s="91"/>
      <c r="E9" s="89" t="s">
        <v>377</v>
      </c>
      <c r="F9" s="90"/>
      <c r="G9" s="90"/>
      <c r="H9" s="90"/>
      <c r="I9" s="90"/>
      <c r="J9" s="91"/>
    </row>
    <row r="12" spans="1:10" x14ac:dyDescent="0.25">
      <c r="A12" s="68" t="s">
        <v>337</v>
      </c>
      <c r="B12" s="68"/>
      <c r="C12" s="68"/>
    </row>
    <row r="13" spans="1:10" ht="30" x14ac:dyDescent="0.25">
      <c r="A13" s="79" t="s">
        <v>338</v>
      </c>
      <c r="B13" s="79"/>
      <c r="C13" s="79"/>
      <c r="D13" s="79" t="s">
        <v>339</v>
      </c>
      <c r="E13" s="79" t="s">
        <v>340</v>
      </c>
      <c r="F13" s="79" t="s">
        <v>341</v>
      </c>
      <c r="G13" s="79" t="s">
        <v>292</v>
      </c>
    </row>
    <row r="14" spans="1:10" x14ac:dyDescent="0.25">
      <c r="A14" s="103" t="s">
        <v>342</v>
      </c>
      <c r="B14" s="103"/>
      <c r="C14" s="103"/>
      <c r="D14" s="87">
        <v>2500</v>
      </c>
      <c r="E14" s="87">
        <v>3250</v>
      </c>
      <c r="F14" s="87">
        <v>4000</v>
      </c>
      <c r="G14" s="104" t="s">
        <v>343</v>
      </c>
      <c r="H14" s="104"/>
      <c r="I14" s="104"/>
      <c r="J14" s="104"/>
    </row>
    <row r="15" spans="1:10" x14ac:dyDescent="0.25">
      <c r="A15" s="103" t="s">
        <v>344</v>
      </c>
      <c r="B15" s="103"/>
      <c r="C15" s="103"/>
      <c r="D15" s="88">
        <v>0.4</v>
      </c>
      <c r="E15" s="88">
        <v>0.5</v>
      </c>
      <c r="F15" s="88">
        <v>0.6</v>
      </c>
      <c r="G15" s="104" t="s">
        <v>345</v>
      </c>
      <c r="H15" s="104"/>
      <c r="I15" s="104"/>
      <c r="J15" s="104"/>
    </row>
    <row r="16" spans="1:10" x14ac:dyDescent="0.25">
      <c r="A16" s="101" t="s">
        <v>346</v>
      </c>
      <c r="B16" s="101"/>
      <c r="C16" s="101"/>
      <c r="D16" s="92">
        <v>4500</v>
      </c>
      <c r="E16" s="92">
        <v>6000</v>
      </c>
      <c r="F16" s="92">
        <v>7500</v>
      </c>
      <c r="G16" s="102" t="s">
        <v>347</v>
      </c>
      <c r="H16" s="102"/>
      <c r="I16" s="102"/>
      <c r="J16" s="102"/>
    </row>
    <row r="17" spans="1:15" x14ac:dyDescent="0.25">
      <c r="A17" s="101" t="s">
        <v>348</v>
      </c>
      <c r="B17" s="101"/>
      <c r="C17" s="101"/>
      <c r="D17" s="93">
        <v>0.35</v>
      </c>
      <c r="E17" s="93">
        <v>0.45</v>
      </c>
      <c r="F17" s="93">
        <v>0.55000000000000004</v>
      </c>
      <c r="G17" s="102" t="s">
        <v>345</v>
      </c>
      <c r="H17" s="102"/>
      <c r="I17" s="102"/>
      <c r="J17" s="102"/>
    </row>
    <row r="18" spans="1:15" x14ac:dyDescent="0.25">
      <c r="A18" s="67" t="s">
        <v>349</v>
      </c>
      <c r="B18" s="67"/>
      <c r="C18" s="67"/>
      <c r="D18" s="63">
        <v>0.08</v>
      </c>
      <c r="E18" s="63">
        <v>0.09</v>
      </c>
      <c r="F18" s="63">
        <v>0.1</v>
      </c>
      <c r="G18" t="s">
        <v>350</v>
      </c>
    </row>
    <row r="19" spans="1:15" x14ac:dyDescent="0.25">
      <c r="A19" s="67" t="s">
        <v>351</v>
      </c>
      <c r="B19" s="67"/>
      <c r="C19" s="67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68" t="s">
        <v>353</v>
      </c>
      <c r="B23" s="68"/>
      <c r="C23" s="68"/>
    </row>
    <row r="24" spans="1:15" s="66" customFormat="1" ht="60" x14ac:dyDescent="0.25">
      <c r="A24" s="66" t="s">
        <v>55</v>
      </c>
      <c r="B24" s="66" t="s">
        <v>354</v>
      </c>
      <c r="C24" s="66" t="s">
        <v>355</v>
      </c>
      <c r="D24" s="66" t="s">
        <v>356</v>
      </c>
      <c r="E24" s="66" t="s">
        <v>357</v>
      </c>
      <c r="F24" s="66" t="s">
        <v>358</v>
      </c>
      <c r="G24" s="66" t="s">
        <v>359</v>
      </c>
      <c r="H24" s="66" t="s">
        <v>360</v>
      </c>
      <c r="I24" s="66" t="s">
        <v>361</v>
      </c>
      <c r="J24" s="66" t="s">
        <v>362</v>
      </c>
      <c r="K24" s="66" t="s">
        <v>363</v>
      </c>
      <c r="L24" s="66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87">
        <f>IF(STRScenarioTable[[#This Row],[Year]]&gt;=3,$F$14,IF(STRScenarioTable[[#This Row],[Year]]&gt;=2,$E$14,$D$14))</f>
        <v>2500</v>
      </c>
      <c r="F25" s="88">
        <f>IF(STRScenarioTable[[#This Row],[Year]]&gt;=3,$F$15,IF(STRScenarioTable[[#This Row],[Year]]&gt;=2,$E$15,$D$15))</f>
        <v>0.4</v>
      </c>
      <c r="G25" s="87">
        <f>STRScenarioTable[[#This Row],[Base Annual Gross Rent]]/2</f>
        <v>52800</v>
      </c>
      <c r="H25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92">
        <f>IF(STRScenarioTable[[#This Row],[Year]]&gt;=3,$F$16,IF(STRScenarioTable[[#This Row],[Year]]&gt;=2,$E$16,$D$16))</f>
        <v>4500</v>
      </c>
      <c r="J25" s="93">
        <f>IF(STRScenarioTable[[#This Row],[Year]]&gt;=3,$F$17,IF(STRScenarioTable[[#This Row],[Year]]&gt;=2,$E$17,$D$17))</f>
        <v>0.35</v>
      </c>
      <c r="K25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87">
        <f>IF(STRScenarioTable[[#This Row],[Year]]&gt;=3,$F$14,IF(STRScenarioTable[[#This Row],[Year]]&gt;=2,$E$14,$D$14))</f>
        <v>3250</v>
      </c>
      <c r="F26" s="88">
        <f>IF(STRScenarioTable[[#This Row],[Year]]&gt;=3,$F$15,IF(STRScenarioTable[[#This Row],[Year]]&gt;=2,$E$15,$D$15))</f>
        <v>0.5</v>
      </c>
      <c r="G26" s="87">
        <f>STRScenarioTable[[#This Row],[Base Annual Gross Rent]]/2</f>
        <v>64800</v>
      </c>
      <c r="H26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92">
        <f>IF(STRScenarioTable[[#This Row],[Year]]&gt;=3,$F$16,IF(STRScenarioTable[[#This Row],[Year]]&gt;=2,$E$16,$D$16))</f>
        <v>6000</v>
      </c>
      <c r="J26" s="93">
        <f>IF(STRScenarioTable[[#This Row],[Year]]&gt;=3,$F$17,IF(STRScenarioTable[[#This Row],[Year]]&gt;=2,$E$17,$D$17))</f>
        <v>0.45</v>
      </c>
      <c r="K26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87">
        <f>IF(STRScenarioTable[[#This Row],[Year]]&gt;=3,$F$14,IF(STRScenarioTable[[#This Row],[Year]]&gt;=2,$E$14,$D$14))</f>
        <v>4000</v>
      </c>
      <c r="F27" s="88">
        <f>IF(STRScenarioTable[[#This Row],[Year]]&gt;=3,$F$15,IF(STRScenarioTable[[#This Row],[Year]]&gt;=2,$E$15,$D$15))</f>
        <v>0.6</v>
      </c>
      <c r="G27" s="87">
        <f>STRScenarioTable[[#This Row],[Base Annual Gross Rent]]/2</f>
        <v>72000</v>
      </c>
      <c r="H27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92">
        <f>IF(STRScenarioTable[[#This Row],[Year]]&gt;=3,$F$16,IF(STRScenarioTable[[#This Row],[Year]]&gt;=2,$E$16,$D$16))</f>
        <v>7500</v>
      </c>
      <c r="J27" s="93">
        <f>IF(STRScenarioTable[[#This Row],[Year]]&gt;=3,$F$17,IF(STRScenarioTable[[#This Row],[Year]]&gt;=2,$E$17,$D$17))</f>
        <v>0.55000000000000004</v>
      </c>
      <c r="K27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87">
        <f>IF(STRScenarioTable[[#This Row],[Year]]&gt;=3,$F$14,IF(STRScenarioTable[[#This Row],[Year]]&gt;=2,$E$14,$D$14))</f>
        <v>4000</v>
      </c>
      <c r="F28" s="88">
        <f>IF(STRScenarioTable[[#This Row],[Year]]&gt;=3,$F$15,IF(STRScenarioTable[[#This Row],[Year]]&gt;=2,$E$15,$D$15))</f>
        <v>0.6</v>
      </c>
      <c r="G28" s="87">
        <f>STRScenarioTable[[#This Row],[Base Annual Gross Rent]]/2</f>
        <v>72000</v>
      </c>
      <c r="H28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92">
        <f>IF(STRScenarioTable[[#This Row],[Year]]&gt;=3,$F$16,IF(STRScenarioTable[[#This Row],[Year]]&gt;=2,$E$16,$D$16))</f>
        <v>7500</v>
      </c>
      <c r="J28" s="93">
        <f>IF(STRScenarioTable[[#This Row],[Year]]&gt;=3,$F$17,IF(STRScenarioTable[[#This Row],[Year]]&gt;=2,$E$17,$D$17))</f>
        <v>0.55000000000000004</v>
      </c>
      <c r="K28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87">
        <f>IF(STRScenarioTable[[#This Row],[Year]]&gt;=3,$F$14,IF(STRScenarioTable[[#This Row],[Year]]&gt;=2,$E$14,$D$14))</f>
        <v>4000</v>
      </c>
      <c r="F29" s="88">
        <f>IF(STRScenarioTable[[#This Row],[Year]]&gt;=3,$F$15,IF(STRScenarioTable[[#This Row],[Year]]&gt;=2,$E$15,$D$15))</f>
        <v>0.6</v>
      </c>
      <c r="G29" s="87">
        <f>STRScenarioTable[[#This Row],[Base Annual Gross Rent]]/2</f>
        <v>72000</v>
      </c>
      <c r="H29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92">
        <f>IF(STRScenarioTable[[#This Row],[Year]]&gt;=3,$F$16,IF(STRScenarioTable[[#This Row],[Year]]&gt;=2,$E$16,$D$16))</f>
        <v>7500</v>
      </c>
      <c r="J29" s="93">
        <f>IF(STRScenarioTable[[#This Row],[Year]]&gt;=3,$F$17,IF(STRScenarioTable[[#This Row],[Year]]&gt;=2,$E$17,$D$17))</f>
        <v>0.55000000000000004</v>
      </c>
      <c r="K29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87">
        <f>IF(STRScenarioTable[[#This Row],[Year]]&gt;=3,$F$14,IF(STRScenarioTable[[#This Row],[Year]]&gt;=2,$E$14,$D$14))</f>
        <v>4000</v>
      </c>
      <c r="F30" s="88">
        <f>IF(STRScenarioTable[[#This Row],[Year]]&gt;=3,$F$15,IF(STRScenarioTable[[#This Row],[Year]]&gt;=2,$E$15,$D$15))</f>
        <v>0.6</v>
      </c>
      <c r="G30" s="87">
        <f>STRScenarioTable[[#This Row],[Base Annual Gross Rent]]/2</f>
        <v>72000</v>
      </c>
      <c r="H30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92">
        <f>IF(STRScenarioTable[[#This Row],[Year]]&gt;=3,$F$16,IF(STRScenarioTable[[#This Row],[Year]]&gt;=2,$E$16,$D$16))</f>
        <v>7500</v>
      </c>
      <c r="J30" s="93">
        <f>IF(STRScenarioTable[[#This Row],[Year]]&gt;=3,$F$17,IF(STRScenarioTable[[#This Row],[Year]]&gt;=2,$E$17,$D$17))</f>
        <v>0.55000000000000004</v>
      </c>
      <c r="K30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87">
        <f>IF(STRScenarioTable[[#This Row],[Year]]&gt;=3,$F$14,IF(STRScenarioTable[[#This Row],[Year]]&gt;=2,$E$14,$D$14))</f>
        <v>4000</v>
      </c>
      <c r="F31" s="88">
        <f>IF(STRScenarioTable[[#This Row],[Year]]&gt;=3,$F$15,IF(STRScenarioTable[[#This Row],[Year]]&gt;=2,$E$15,$D$15))</f>
        <v>0.6</v>
      </c>
      <c r="G31" s="87">
        <f>STRScenarioTable[[#This Row],[Base Annual Gross Rent]]/2</f>
        <v>72000</v>
      </c>
      <c r="H31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92">
        <f>IF(STRScenarioTable[[#This Row],[Year]]&gt;=3,$F$16,IF(STRScenarioTable[[#This Row],[Year]]&gt;=2,$E$16,$D$16))</f>
        <v>7500</v>
      </c>
      <c r="J31" s="93">
        <f>IF(STRScenarioTable[[#This Row],[Year]]&gt;=3,$F$17,IF(STRScenarioTable[[#This Row],[Year]]&gt;=2,$E$17,$D$17))</f>
        <v>0.55000000000000004</v>
      </c>
      <c r="K31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87">
        <f>IF(STRScenarioTable[[#This Row],[Year]]&gt;=3,$F$14,IF(STRScenarioTable[[#This Row],[Year]]&gt;=2,$E$14,$D$14))</f>
        <v>4000</v>
      </c>
      <c r="F32" s="88">
        <f>IF(STRScenarioTable[[#This Row],[Year]]&gt;=3,$F$15,IF(STRScenarioTable[[#This Row],[Year]]&gt;=2,$E$15,$D$15))</f>
        <v>0.6</v>
      </c>
      <c r="G32" s="87">
        <f>STRScenarioTable[[#This Row],[Base Annual Gross Rent]]/2</f>
        <v>72000</v>
      </c>
      <c r="H32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92">
        <f>IF(STRScenarioTable[[#This Row],[Year]]&gt;=3,$F$16,IF(STRScenarioTable[[#This Row],[Year]]&gt;=2,$E$16,$D$16))</f>
        <v>7500</v>
      </c>
      <c r="J32" s="93">
        <f>IF(STRScenarioTable[[#This Row],[Year]]&gt;=3,$F$17,IF(STRScenarioTable[[#This Row],[Year]]&gt;=2,$E$17,$D$17))</f>
        <v>0.55000000000000004</v>
      </c>
      <c r="K32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87">
        <f>IF(STRScenarioTable[[#This Row],[Year]]&gt;=3,$F$14,IF(STRScenarioTable[[#This Row],[Year]]&gt;=2,$E$14,$D$14))</f>
        <v>4000</v>
      </c>
      <c r="F33" s="88">
        <f>IF(STRScenarioTable[[#This Row],[Year]]&gt;=3,$F$15,IF(STRScenarioTable[[#This Row],[Year]]&gt;=2,$E$15,$D$15))</f>
        <v>0.6</v>
      </c>
      <c r="G33" s="87">
        <f>STRScenarioTable[[#This Row],[Base Annual Gross Rent]]/2</f>
        <v>72000</v>
      </c>
      <c r="H33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92">
        <f>IF(STRScenarioTable[[#This Row],[Year]]&gt;=3,$F$16,IF(STRScenarioTable[[#This Row],[Year]]&gt;=2,$E$16,$D$16))</f>
        <v>7500</v>
      </c>
      <c r="J33" s="93">
        <f>IF(STRScenarioTable[[#This Row],[Year]]&gt;=3,$F$17,IF(STRScenarioTable[[#This Row],[Year]]&gt;=2,$E$17,$D$17))</f>
        <v>0.55000000000000004</v>
      </c>
      <c r="K33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87">
        <f>IF(STRScenarioTable[[#This Row],[Year]]&gt;=3,$F$14,IF(STRScenarioTable[[#This Row],[Year]]&gt;=2,$E$14,$D$14))</f>
        <v>4000</v>
      </c>
      <c r="F34" s="88">
        <f>IF(STRScenarioTable[[#This Row],[Year]]&gt;=3,$F$15,IF(STRScenarioTable[[#This Row],[Year]]&gt;=2,$E$15,$D$15))</f>
        <v>0.6</v>
      </c>
      <c r="G34" s="87">
        <f>STRScenarioTable[[#This Row],[Base Annual Gross Rent]]/2</f>
        <v>72000</v>
      </c>
      <c r="H34" s="8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92">
        <f>IF(STRScenarioTable[[#This Row],[Year]]&gt;=3,$F$16,IF(STRScenarioTable[[#This Row],[Year]]&gt;=2,$E$16,$D$16))</f>
        <v>7500</v>
      </c>
      <c r="J34" s="93">
        <f>IF(STRScenarioTable[[#This Row],[Year]]&gt;=3,$F$17,IF(STRScenarioTable[[#This Row],[Year]]&gt;=2,$E$17,$D$17))</f>
        <v>0.55000000000000004</v>
      </c>
      <c r="K34" s="9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D4:F4"/>
    <mergeCell ref="E8:J8"/>
    <mergeCell ref="E6:J6"/>
    <mergeCell ref="E7:J7"/>
    <mergeCell ref="E9:J9"/>
    <mergeCell ref="B2:D2"/>
    <mergeCell ref="A12:C12"/>
    <mergeCell ref="A23:C23"/>
    <mergeCell ref="A19:C19"/>
    <mergeCell ref="A18:C18"/>
    <mergeCell ref="A14:C14"/>
    <mergeCell ref="A15:C15"/>
    <mergeCell ref="A16:C16"/>
    <mergeCell ref="A17:C17"/>
    <mergeCell ref="A1:D1"/>
    <mergeCell ref="B6:D6"/>
    <mergeCell ref="B7:D7"/>
    <mergeCell ref="B8:D8"/>
    <mergeCell ref="B9:D9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2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5</xdr:row>
                    <xdr:rowOff>19050</xdr:rowOff>
                  </from>
                  <to>
                    <xdr:col>1</xdr:col>
                    <xdr:colOff>9525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5" name="OperatingScenarioOption_1">
              <controlPr defaultSize="0" autoFill="0" autoLine="0" autoPict="0">
                <anchor moveWithCells="1">
                  <from>
                    <xdr:col>0</xdr:col>
                    <xdr:colOff>200025</xdr:colOff>
                    <xdr:row>6</xdr:row>
                    <xdr:rowOff>19050</xdr:rowOff>
                  </from>
                  <to>
                    <xdr:col>0</xdr:col>
                    <xdr:colOff>495300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6" name="OperatingScenarioOption_2">
              <controlPr defaultSize="0" autoFill="0" autoLine="0" autoPict="0">
                <anchor moveWithCells="1">
                  <from>
                    <xdr:col>0</xdr:col>
                    <xdr:colOff>200025</xdr:colOff>
                    <xdr:row>7</xdr:row>
                    <xdr:rowOff>19050</xdr:rowOff>
                  </from>
                  <to>
                    <xdr:col>0</xdr:col>
                    <xdr:colOff>495300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7" name="OperatingScenarioOption_3">
              <controlPr defaultSize="0" autoFill="0" autoLine="0" autoPict="0">
                <anchor moveWithCells="1">
                  <from>
                    <xdr:col>0</xdr:col>
                    <xdr:colOff>200025</xdr:colOff>
                    <xdr:row>8</xdr:row>
                    <xdr:rowOff>19050</xdr:rowOff>
                  </from>
                  <to>
                    <xdr:col>0</xdr:col>
                    <xdr:colOff>495300</xdr:colOff>
                    <xdr:row>9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365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366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71" t="s">
        <v>281</v>
      </c>
      <c r="E7" s="71"/>
      <c r="F7" s="71"/>
      <c r="G7" s="71"/>
      <c r="H7" s="71"/>
      <c r="I7" s="71"/>
      <c r="J7" s="71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69" t="s">
        <v>53</v>
      </c>
      <c r="C48" s="70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72" t="s">
        <v>54</v>
      </c>
      <c r="B1" s="67"/>
      <c r="C1" s="6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V10" sqref="V1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16384" width="9.140625" style="6"/>
  </cols>
  <sheetData>
    <row r="1" spans="1:19" ht="18.75" x14ac:dyDescent="0.3">
      <c r="A1" s="72" t="s">
        <v>68</v>
      </c>
      <c r="B1" s="67"/>
      <c r="C1" s="67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6" t="s">
        <v>267</v>
      </c>
      <c r="D2" s="74"/>
      <c r="E2" s="74"/>
      <c r="F2" s="74"/>
      <c r="G2" s="74"/>
      <c r="H2" s="74"/>
      <c r="I2" s="74"/>
      <c r="J2" s="73" t="s">
        <v>89</v>
      </c>
      <c r="K2" s="74"/>
      <c r="L2" s="74"/>
      <c r="M2" s="74"/>
      <c r="N2" s="75" t="s">
        <v>90</v>
      </c>
      <c r="O2" s="74"/>
      <c r="P2" s="74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0</v>
      </c>
      <c r="F19" s="41">
        <f>IF(2&gt;SaleExitYear,0,INDEX(WaterfallTable[Total Dist A],MATCH(2,WaterfallTable[Year],0)))</f>
        <v>41781.439211589022</v>
      </c>
      <c r="G19" s="41">
        <f>IF(3&gt;SaleExitYear,0,INDEX(WaterfallTable[Total Dist A],MATCH(3,WaterfallTable[Year],0)))</f>
        <v>258218.56078841098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278057.43248614768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278057.43248614768</v>
      </c>
      <c r="P19" s="41">
        <f>ReturnsTable[[#This Row],[Total Profit]]+ReturnsTable[[#This Row],[Capital Investment]]</f>
        <v>578057.43248614762</v>
      </c>
      <c r="Q19" s="42">
        <f>IFERROR(ReturnsTable[[#This Row],[Total Dist]]/ReturnsTable[[#This Row],[Capital Investment]],0)</f>
        <v>1.9268581082871588</v>
      </c>
      <c r="R19" s="53">
        <f>IFERROR(ReturnsTable[[#This Row],[Total Profit]]/ReturnsTable[[#This Row],[Capital Investment]],0)</f>
        <v>0.92685810828715898</v>
      </c>
      <c r="S19" s="60">
        <f>IFERROR(IRR(ReturnsTable[[#This Row],[Initial Capitalization]:[Year 10]]),0)</f>
        <v>0.18919673669698978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314885.44678405975</v>
      </c>
      <c r="H20" s="43">
        <f>IF(4&gt;SaleExitYear,0,INDEX(WaterfallTable[Total Dist B],MATCH(4,WaterfallTable[Year],0)))</f>
        <v>34827.567572470594</v>
      </c>
      <c r="I20" s="43">
        <f>IF(5&gt;SaleExitYear,0,INDEX(WaterfallTable[Total Dist B],MATCH(5,WaterfallTable[Year],0)))</f>
        <v>536141.89005558123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338354.90441211156</v>
      </c>
      <c r="P20" s="43">
        <f>ReturnsTable[[#This Row],[Total Profit]]+ReturnsTable[[#This Row],[Capital Investment]]</f>
        <v>885854.9044121115</v>
      </c>
      <c r="Q20" s="44">
        <f>IFERROR(ReturnsTable[[#This Row],[Total Dist]]/ReturnsTable[[#This Row],[Capital Investment]],0)</f>
        <v>1.6179998254102492</v>
      </c>
      <c r="R20" s="54">
        <f>IFERROR(ReturnsTable[[#This Row],[Total Profit]]/ReturnsTable[[#This Row],[Capital Investment]],0)</f>
        <v>0.61799982541024945</v>
      </c>
      <c r="S20" s="60">
        <f>IFERROR(IRR(ReturnsTable[[#This Row],[Initial Capitalization]:[Year 10]]),0)</f>
        <v>0.12146973485163892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523754.85203518625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487471.85203518625</v>
      </c>
      <c r="P21" s="45">
        <f>ReturnsTable[[#This Row],[Total Profit]]+ReturnsTable[[#This Row],[Capital Investment]]</f>
        <v>623754.85203518625</v>
      </c>
      <c r="Q21" s="46">
        <f>IFERROR(ReturnsTable[[#This Row],[Total Dist]]/ReturnsTable[[#This Row],[Capital Investment]],0)</f>
        <v>4.5769087269519035</v>
      </c>
      <c r="R21" s="55">
        <f>IFERROR(ReturnsTable[[#This Row],[Total Profit]]/ReturnsTable[[#This Row],[Capital Investment]],0)</f>
        <v>3.5769087269519035</v>
      </c>
      <c r="S21" s="60">
        <f>IFERROR(IRR(ReturnsTable[[#This Row],[Initial Capitalization]:[Year 10]]),0)</f>
        <v>0.7056305810885255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2123.94</v>
      </c>
      <c r="F22" s="47">
        <f>IF(2&gt;SaleExitYear,0,ManagementFeeRate*INDEX(AnnualModelTable[Occupancy Effective Gross Income],MATCH(2,AnnualModelTable[Year],0)))</f>
        <v>6737.5152000000007</v>
      </c>
      <c r="G22" s="47">
        <f>IF(3&gt;SaleExitYear,0,ManagementFeeRate*INDEX(AnnualModelTable[Occupancy Effective Gross Income],MATCH(3,AnnualModelTable[Year],0)))</f>
        <v>10213.632000000001</v>
      </c>
      <c r="H22" s="47">
        <f>IF(4&gt;SaleExitYear,0,ManagementFeeRate*INDEX(AnnualModelTable[Occupancy Effective Gross Income],MATCH(4,AnnualModelTable[Year],0)))</f>
        <v>10213.632000000001</v>
      </c>
      <c r="I22" s="47">
        <f>IF(5&gt;SaleExitYear,0,ManagementFeeRate*INDEX(AnnualModelTable[Occupancy Effective Gross Income],MATCH(5,AnnualModelTable[Year],0)))</f>
        <v>10213.632000000001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39502.351200000005</v>
      </c>
      <c r="P22" s="47">
        <f>ReturnsTable[[#This Row],[Total Profit]]</f>
        <v>39502.351200000005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2">
    <tablePart r:id="rId26"/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72" t="s">
        <v>270</v>
      </c>
      <c r="B1" s="70"/>
      <c r="C1" s="70"/>
      <c r="D1" s="7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69" t="s">
        <v>266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77" t="s">
        <v>104</v>
      </c>
      <c r="C2" s="70"/>
      <c r="D2" s="70"/>
    </row>
    <row r="3" spans="1:10" x14ac:dyDescent="0.25">
      <c r="A3" s="13" t="s">
        <v>105</v>
      </c>
      <c r="B3" s="77" t="s">
        <v>106</v>
      </c>
      <c r="C3" s="70"/>
      <c r="D3" s="70"/>
      <c r="E3" s="70"/>
      <c r="F3" s="70"/>
      <c r="G3" s="70"/>
      <c r="H3" s="70"/>
      <c r="I3" s="70"/>
    </row>
    <row r="4" spans="1:10" x14ac:dyDescent="0.25">
      <c r="A4" s="13"/>
      <c r="B4" s="13"/>
      <c r="C4" s="77"/>
      <c r="D4" s="67"/>
      <c r="E4" s="67"/>
      <c r="F4" s="67"/>
      <c r="H4" s="13"/>
    </row>
    <row r="5" spans="1:10" ht="15.75" thickBot="1" x14ac:dyDescent="0.3">
      <c r="A5" s="13"/>
      <c r="B5" s="13"/>
      <c r="C5" s="77"/>
      <c r="D5" s="67"/>
      <c r="E5" s="67"/>
      <c r="F5" s="67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70" t="s">
        <v>160</v>
      </c>
      <c r="C62" s="70"/>
      <c r="D62" s="70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70" t="s">
        <v>164</v>
      </c>
      <c r="D66" s="70"/>
      <c r="E66" s="70"/>
      <c r="F66" s="70"/>
      <c r="G66" s="70"/>
    </row>
    <row r="67" spans="1:7" x14ac:dyDescent="0.25">
      <c r="A67" s="6" t="s">
        <v>165</v>
      </c>
      <c r="B67" s="6" t="s">
        <v>163</v>
      </c>
      <c r="C67" s="70" t="s">
        <v>164</v>
      </c>
      <c r="D67" s="70"/>
      <c r="E67" s="70"/>
      <c r="F67" s="70"/>
      <c r="G67" s="70"/>
    </row>
    <row r="68" spans="1:7" x14ac:dyDescent="0.25">
      <c r="A68" s="6" t="s">
        <v>166</v>
      </c>
      <c r="B68" s="6" t="s">
        <v>163</v>
      </c>
      <c r="C68" s="70" t="s">
        <v>164</v>
      </c>
      <c r="D68" s="70"/>
      <c r="E68" s="70"/>
      <c r="F68" s="70"/>
      <c r="G68" s="70"/>
    </row>
    <row r="69" spans="1:7" x14ac:dyDescent="0.25">
      <c r="A69" s="6" t="s">
        <v>167</v>
      </c>
      <c r="B69" s="6" t="s">
        <v>163</v>
      </c>
      <c r="C69" s="70" t="s">
        <v>164</v>
      </c>
      <c r="D69" s="70"/>
      <c r="E69" s="70"/>
      <c r="F69" s="70"/>
      <c r="G69" s="70"/>
    </row>
    <row r="70" spans="1:7" x14ac:dyDescent="0.25">
      <c r="A70" s="6" t="s">
        <v>168</v>
      </c>
      <c r="B70" s="6" t="s">
        <v>169</v>
      </c>
      <c r="C70" s="70" t="s">
        <v>170</v>
      </c>
      <c r="D70" s="70"/>
      <c r="E70" s="70"/>
      <c r="F70" s="70"/>
      <c r="G70" s="70"/>
    </row>
    <row r="71" spans="1:7" x14ac:dyDescent="0.25">
      <c r="A71" s="6" t="s">
        <v>171</v>
      </c>
      <c r="B71" s="6" t="s">
        <v>163</v>
      </c>
      <c r="C71" s="70" t="s">
        <v>172</v>
      </c>
      <c r="D71" s="70"/>
      <c r="E71" s="70"/>
      <c r="F71" s="70"/>
      <c r="G71" s="70"/>
    </row>
    <row r="72" spans="1:7" x14ac:dyDescent="0.25">
      <c r="A72" s="6" t="s">
        <v>173</v>
      </c>
      <c r="B72" s="6" t="s">
        <v>163</v>
      </c>
      <c r="C72" s="70" t="s">
        <v>174</v>
      </c>
      <c r="D72" s="70"/>
      <c r="E72" s="70"/>
      <c r="F72" s="70"/>
      <c r="G72" s="70"/>
    </row>
    <row r="73" spans="1:7" x14ac:dyDescent="0.25">
      <c r="A73" s="6" t="s">
        <v>175</v>
      </c>
      <c r="B73" s="6" t="s">
        <v>163</v>
      </c>
      <c r="C73" s="70" t="s">
        <v>176</v>
      </c>
      <c r="D73" s="70"/>
      <c r="E73" s="70"/>
      <c r="F73" s="70"/>
      <c r="G73" s="70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70" t="s">
        <v>179</v>
      </c>
      <c r="D76" s="70"/>
      <c r="E76" s="70"/>
      <c r="F76" s="70"/>
      <c r="G76" s="70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70" t="s">
        <v>185</v>
      </c>
      <c r="D81" s="70"/>
      <c r="E81" s="70"/>
      <c r="F81" s="70"/>
      <c r="G81" s="70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2026-05-18T01:44:14Z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