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47" documentId="13_ncr:1_{0C20EBD6-E2BD-404C-B47C-BDA54182D35E}" xr6:coauthVersionLast="47" xr6:coauthVersionMax="47" xr10:uidLastSave="{0336B8CA-D7E1-4D5D-B118-614952359FA8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OperatingExpenseRatio">'Operating Expense Budget'!$B$7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Budget'!$B$4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7" l="1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0" i="7" l="1"/>
  <c r="B6" i="7" s="1"/>
  <c r="B7" i="7" s="1"/>
  <c r="B15" i="1" s="1"/>
  <c r="E12" i="2" s="1"/>
  <c r="C14" i="2"/>
  <c r="D14" i="2" s="1"/>
  <c r="C13" i="2"/>
  <c r="C11" i="2"/>
  <c r="C10" i="2"/>
  <c r="C9" i="2"/>
  <c r="C8" i="2"/>
  <c r="D8" i="2" s="1"/>
  <c r="E8" i="2" s="1"/>
  <c r="C7" i="2"/>
  <c r="D7" i="2" s="1"/>
  <c r="C6" i="2"/>
  <c r="D6" i="2" s="1"/>
  <c r="E6" i="2" s="1"/>
  <c r="C5" i="2"/>
  <c r="C15" i="6"/>
  <c r="B15" i="6"/>
  <c r="C14" i="6"/>
  <c r="C17" i="6" s="1"/>
  <c r="B17" i="6"/>
  <c r="B34" i="6" s="1"/>
  <c r="E7" i="2" l="1"/>
  <c r="F7" i="2" s="1"/>
  <c r="L7" i="2" s="1"/>
  <c r="E4" i="2"/>
  <c r="F4" i="2" s="1"/>
  <c r="H4" i="2" s="1"/>
  <c r="J4" i="2" s="1"/>
  <c r="B4" i="3" s="1"/>
  <c r="E14" i="2"/>
  <c r="F14" i="2" s="1"/>
  <c r="L14" i="2" s="1"/>
  <c r="D10" i="2"/>
  <c r="E10" i="2" s="1"/>
  <c r="D13" i="2"/>
  <c r="E13" i="2" s="1"/>
  <c r="D9" i="2"/>
  <c r="E9" i="2" s="1"/>
  <c r="D11" i="2"/>
  <c r="D5" i="2"/>
  <c r="C34" i="6"/>
  <c r="B30" i="1"/>
  <c r="B9" i="6" s="1"/>
  <c r="F12" i="2"/>
  <c r="L12" i="2" s="1"/>
  <c r="F6" i="2"/>
  <c r="L6" i="2" s="1"/>
  <c r="F8" i="2"/>
  <c r="L8" i="2" s="1"/>
  <c r="E4" i="3"/>
  <c r="H4" i="3" s="1"/>
  <c r="C5" i="3" s="1"/>
  <c r="F10" i="2" l="1"/>
  <c r="L10" i="2" s="1"/>
  <c r="F13" i="2"/>
  <c r="L13" i="2" s="1"/>
  <c r="F9" i="2"/>
  <c r="L9" i="2" s="1"/>
  <c r="K4" i="3"/>
  <c r="B5" i="4"/>
  <c r="H5" i="4" s="1"/>
  <c r="E11" i="2"/>
  <c r="F11" i="2" s="1"/>
  <c r="L11" i="2" s="1"/>
  <c r="E5" i="2"/>
  <c r="F5" i="2" s="1"/>
  <c r="H5" i="2" s="1"/>
  <c r="J5" i="2" s="1"/>
  <c r="B5" i="3" s="1"/>
  <c r="B11" i="6"/>
  <c r="C35" i="6" s="1"/>
  <c r="C36" i="6" s="1"/>
  <c r="H7" i="2"/>
  <c r="J7" i="2" s="1"/>
  <c r="B7" i="3" s="1"/>
  <c r="H6" i="2"/>
  <c r="B20" i="1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H9" i="2" l="1"/>
  <c r="J9" i="2" s="1"/>
  <c r="B9" i="3" s="1"/>
  <c r="H10" i="2"/>
  <c r="J10" i="2" s="1"/>
  <c r="B10" i="3" s="1"/>
  <c r="H13" i="2"/>
  <c r="J13" i="2" s="1"/>
  <c r="B13" i="3" s="1"/>
  <c r="I6" i="2"/>
  <c r="J6" i="2" s="1"/>
  <c r="B6" i="3" s="1"/>
  <c r="B6" i="6"/>
  <c r="H11" i="2"/>
  <c r="J11" i="2" s="1"/>
  <c r="B11" i="3" s="1"/>
  <c r="B35" i="6"/>
  <c r="B36" i="6" s="1"/>
  <c r="J8" i="2"/>
  <c r="B8" i="3" s="1"/>
  <c r="J4" i="3"/>
  <c r="P4" i="3"/>
  <c r="L4" i="3" l="1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<sst xmlns="http://schemas.openxmlformats.org/spreadsheetml/2006/main" count="328" uniqueCount="284">
  <si>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</si>
  <si>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</si>
  <si>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</si>
  <si>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</si>
  <si>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</si>
  <si>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</si>
  <si>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</si>
  <si>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</si>
  <si>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</si>
  <si>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</si>
  <si>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</si>
  <si>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</si>
  <si>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</si>
  <si>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</si>
  <si>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</si>
  <si>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</si>
  <si>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</si>
  <si>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</si>
  <si>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</si>
  <si>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</si>
  <si>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</si>
  <si>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</si>
  <si>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</si>
  <si>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</si>
  <si>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</si>
  <si>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</si>
  <si>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</si>
  <si>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</si>
  <si>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</si>
  <si>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</si>
  <si>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</si>
  <si>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</si>
  <si>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</si>
  <si>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</si>
  <si>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</si>
  <si>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</si>
  <si>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</si>
  <si>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</si>
  <si>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</si>
  <si>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</si>
  <si>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</si>
  <si>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</si>
  <si>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</si>
  <si>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</si>
  <si>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</si>
  <si>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</si>
  <si>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</si>
  <si>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</si>
  <si>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</si>
  <si>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</si>
  <si>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</si>
  <si>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</si>
  <si>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</si>
  <si>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</si>
  <si>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</si>
  <si>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</si>
  <si>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</si>
  <si>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</si>
  <si>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</si>
  <si>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</si>
  <si>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</si>
  <si>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</si>
  <si>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</si>
  <si>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</si>
  <si>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</si>
  <si>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</si>
  <si>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</si>
  <si>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</si>
  <si>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</si>
  <si>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</si>
  <si>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</si>
  <si>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</si>
  <si>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</si>
  <si>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</si>
  <si>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</si>
  <si>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</si>
  <si>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</si>
  <si>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</si>
  <si>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</si>
  <si>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</si>
  <si>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</si>
  <si>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</si>
  <si>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</si>
  <si>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</si>
  <si>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</si>
  <si>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</si>
  <si>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</si>
  <si>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</si>
  <si>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</si>
  <si>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</si>
  <si>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</si>
  <si>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</si>
  <si>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</si>
  <si>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</si>
  <si>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</si>
  <si>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</si>
  <si>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</si>
  <si>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</si>
  <si>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</si>
  <si>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</si>
  <si>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</si>
  <si>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</si>
  <si>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</si>
  <si>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</si>
  <si>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</si>
  <si>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</si>
  <si>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</si>
  <si>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</si>
  <si>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</si>
  <si>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</si>
  <si>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</si>
  <si>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</si>
  <si>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</si>
  <si>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</si>
  <si>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</si>
  <si>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</si>
  <si>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</si>
  <si>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</si>
  <si>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</si>
  <si>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</si>
  <si>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</si>
  <si>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</si>
  <si>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</si>
  <si>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</si>
  <si>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</si>
  <si>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</si>
  <si>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</si>
  <si>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</si>
  <si>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</si>
  <si>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</si>
  <si>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</si>
  <si>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</si>
  <si>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</si>
  <si>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</si>
  <si>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</si>
  <si>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</si>
  <si>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</si>
  <si>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</si>
  <si>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</si>
  <si>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</si>
  <si>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</si>
  <si>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</si>
  <si>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</si>
  <si>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</si>
  <si>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</si>
  <si>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</si>
  <si>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</si>
  <si>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</si>
  <si>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</si>
  <si>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</si>
  <si>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</si>
  <si>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</si>
  <si>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</si>
  <si>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</si>
  <si>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</si>
  <si>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</si>
  <si>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</si>
  <si>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</si>
  <si>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</si>
  <si>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</si>
  <si>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</si>
  <si>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</si>
  <si>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</si>
  <si>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</si>
  <si>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</si>
  <si>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</si>
  <si>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</si>
  <si>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</si>
  <si>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</si>
  <si>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</si>
  <si>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</si>
  <si>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</si>
  <si>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</si>
  <si>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</si>
  <si>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</si>
  <si>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</si>
  <si>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</si>
  <si>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</si>
  <si>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</si>
  <si>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</si>
  <si>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</si>
  <si>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</si>
  <si>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</si>
  <si>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</si>
  <si>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</si>
  <si>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</si>
  <si>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</si>
  <si>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</si>
  <si>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</si>
  <si>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</si>
  <si>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</si>
  <si>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</si>
  <si>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</si>
  <si>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</si>
  <si>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</si>
  <si>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</si>
  <si>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</si>
  <si>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</si>
  <si>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</si>
  <si>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</si>
  <si>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</si>
  <si>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</si>
  <si>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</si>
  <si>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</si>
  <si>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</si>
  <si>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</si>
  <si>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</si>
  <si>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</si>
  <si>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</si>
  <si>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</si>
  <si>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</si>
  <si>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</si>
  <si>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</si>
  <si>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</si>
  <si>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</si>
  <si>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Sponsor-Controlled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</si>
  <si>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</si>
  <si>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</si>
  <si>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</si>
  <si>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</si>
  <si>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</si>
  <si>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</si>
  <si>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</si>
  <si>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</si>
  <si>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</si>
  <si>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</si>
  <si>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</si>
  <si>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</si>
  <si>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</si>
  <si>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</si>
  <si>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</si>
  <si>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</si>
  <si>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</si>
  <si>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</si>
  <si>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</si>
  <si>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</si>
  <si>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</si>
  <si>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</si>
  <si>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</si>
  <si>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</si>
  <si>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</si>
  <si>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</si>
  <si>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</si>
  <si>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</si>
  <si>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</si>
  <si>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</si>
  <si>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</si>
  <si>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</si>
  <si>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</si>
  <si>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</si>
  <si>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</si>
  <si>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</si>
  <si>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</si>
  <si>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</si>
  <si>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</si>
  <si>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</si>
  <si>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</si>
  <si>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</si>
  <si>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</si>
  <si>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</si>
  <si>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</si>
  <si>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</si>
  <si>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</si>
  <si>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</si>
  <si>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</si>
  <si>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</si>
  <si>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</si>
  <si>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</si>
  <si>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</si>
  <si>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</si>
  <si>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</si>
  <si>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</si>
  <si>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</si>
  <si>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</si>
  <si>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</si>
  <si>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</si>
  <si>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</si>
  <si>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</si>
  <si>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</si>
  <si>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</si>
  <si>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</si>
  <si>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</si>
  <si>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</si>
  <si>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Sponsor-Controlled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</si>
</sst>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4" fillId="0" borderId="0" xfId="0" applyNumberFormat="1" applyFont="1" applyAlignment="1">
      <alignment horizontal="center"/>
    </xf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'Operating Expense Budget'!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6</xdr:col>
          <xdr:colOff>457200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calculated budget ratio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225</v>
      </c>
      <c r="B15" s="1">
        <f>SelectedOperatingExpenseRatio</f>
        <v>0.77741271737687512</v>
      </c>
      <c r="C15" s="5" t="s">
        <v>280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276328.39999999997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MAX(0,'Cost Analysis'!$C$17-ClassACapital)</f>
        <v>1200000</v>
      </c>
      <c r="C30" s="5" t="s">
        <v>44</v>
      </c>
    </row>
    <row r="31" spans="1:3" x14ac:dyDescent="0.25">
      <c r="A31" s="2" t="s">
        <v>45</v>
      </c>
      <c r="B31" s="7">
        <v>1</v>
      </c>
      <c r="C31" s="5" t="s">
        <v>46</v>
      </c>
    </row>
    <row r="32" spans="1:3" x14ac:dyDescent="0.25">
      <c r="A32" s="2" t="s">
        <v>47</v>
      </c>
      <c r="B32" s="1">
        <v>0.4</v>
      </c>
      <c r="C32" s="5" t="s">
        <v>48</v>
      </c>
    </row>
    <row r="33" spans="1:3" x14ac:dyDescent="0.25">
      <c r="A33" s="2" t="s">
        <v>49</v>
      </c>
      <c r="B33" s="1">
        <f>1-ClassBResidualShare</f>
        <v>0.6</v>
      </c>
      <c r="C33" s="5" t="s">
        <v>50</v>
      </c>
    </row>
    <row r="34" spans="1:3" x14ac:dyDescent="0.25">
      <c r="A34" s="2" t="s">
        <v>51</v>
      </c>
      <c r="B34" s="2">
        <v>150000</v>
      </c>
      <c r="C34" s="5" t="s">
        <v>52</v>
      </c>
    </row>
    <row r="35" spans="1:3" x14ac:dyDescent="0.25">
      <c r="A35" s="2"/>
      <c r="B35" s="2"/>
      <c r="C35" s="2"/>
    </row>
    <row r="36" spans="1:3" x14ac:dyDescent="0.25">
      <c r="A36" s="2" t="s">
        <v>53</v>
      </c>
      <c r="B36" s="17" t="s">
        <v>54</v>
      </c>
      <c r="C36" s="18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</row>
    <row r="4" spans="1:12" x14ac:dyDescent="0.25">
      <c r="A4" s="2">
        <v>0</v>
      </c>
      <c r="B4" s="2" t="s">
        <v>68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69</v>
      </c>
      <c r="C5" s="2">
        <f t="shared" si="0"/>
        <v>129600</v>
      </c>
      <c r="D5" s="2">
        <f t="shared" si="1"/>
        <v>64800</v>
      </c>
      <c r="E5" s="2">
        <f t="shared" si="2"/>
        <v>50376.344086021505</v>
      </c>
      <c r="F5" s="2">
        <f t="shared" si="3"/>
        <v>14423.655913978495</v>
      </c>
      <c r="G5" s="2">
        <f t="shared" si="4"/>
        <v>0</v>
      </c>
      <c r="H5" s="2">
        <f t="shared" si="5"/>
        <v>14423.655913978495</v>
      </c>
      <c r="I5" s="2">
        <f t="shared" si="6"/>
        <v>0</v>
      </c>
      <c r="J5" s="2">
        <f t="shared" si="7"/>
        <v>14423.655913978495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70</v>
      </c>
      <c r="C6" s="2">
        <f t="shared" si="0"/>
        <v>129600</v>
      </c>
      <c r="D6" s="2">
        <f t="shared" si="1"/>
        <v>120528</v>
      </c>
      <c r="E6" s="2">
        <f t="shared" si="2"/>
        <v>93700</v>
      </c>
      <c r="F6" s="2">
        <f t="shared" si="3"/>
        <v>26828</v>
      </c>
      <c r="G6" s="2">
        <f t="shared" si="4"/>
        <v>49301.305832451166</v>
      </c>
      <c r="H6" s="2">
        <f t="shared" si="5"/>
        <v>-22473.305832451166</v>
      </c>
      <c r="I6" s="2">
        <f t="shared" si="6"/>
        <v>373671.60000000003</v>
      </c>
      <c r="J6" s="2">
        <f t="shared" si="7"/>
        <v>351198.29416754888</v>
      </c>
      <c r="K6" s="2">
        <f t="shared" si="8"/>
        <v>650000</v>
      </c>
      <c r="L6" s="2">
        <f t="shared" si="9"/>
        <v>394754.8571428571</v>
      </c>
    </row>
    <row r="7" spans="1:12" x14ac:dyDescent="0.25">
      <c r="A7" s="2">
        <v>3</v>
      </c>
      <c r="B7" s="2" t="s">
        <v>71</v>
      </c>
      <c r="C7" s="2">
        <f t="shared" si="0"/>
        <v>133488</v>
      </c>
      <c r="D7" s="2">
        <f t="shared" si="1"/>
        <v>124143.84000000001</v>
      </c>
      <c r="E7" s="2">
        <f t="shared" si="2"/>
        <v>96511.000000000015</v>
      </c>
      <c r="F7" s="2">
        <f t="shared" si="3"/>
        <v>27632.839999999997</v>
      </c>
      <c r="G7" s="2">
        <f t="shared" si="4"/>
        <v>49301.305832451166</v>
      </c>
      <c r="H7" s="2">
        <f t="shared" si="5"/>
        <v>-21668.465832451169</v>
      </c>
      <c r="I7" s="2">
        <f t="shared" si="6"/>
        <v>0</v>
      </c>
      <c r="J7" s="2">
        <f t="shared" si="7"/>
        <v>-21668.465832451169</v>
      </c>
      <c r="K7" s="2">
        <f t="shared" si="8"/>
        <v>642734.78445176012</v>
      </c>
      <c r="L7" s="2">
        <f t="shared" si="9"/>
        <v>406597.50285714277</v>
      </c>
    </row>
    <row r="8" spans="1:12" x14ac:dyDescent="0.25">
      <c r="A8" s="2">
        <v>4</v>
      </c>
      <c r="B8" s="2" t="s">
        <v>71</v>
      </c>
      <c r="C8" s="2">
        <f t="shared" si="0"/>
        <v>137492.63999999998</v>
      </c>
      <c r="D8" s="2">
        <f t="shared" si="1"/>
        <v>127868.15519999999</v>
      </c>
      <c r="E8" s="2">
        <f t="shared" si="2"/>
        <v>99406.33</v>
      </c>
      <c r="F8" s="2">
        <f t="shared" si="3"/>
        <v>28461.825199999992</v>
      </c>
      <c r="G8" s="2">
        <f t="shared" si="4"/>
        <v>49301.305832451166</v>
      </c>
      <c r="H8" s="2">
        <f t="shared" si="5"/>
        <v>-20839.480632451174</v>
      </c>
      <c r="I8" s="2">
        <f t="shared" si="6"/>
        <v>410419.51938399981</v>
      </c>
      <c r="J8" s="2">
        <f t="shared" si="7"/>
        <v>389580.03875154862</v>
      </c>
      <c r="K8" s="2">
        <f t="shared" si="8"/>
        <v>0</v>
      </c>
      <c r="L8" s="2">
        <f t="shared" si="9"/>
        <v>418795.42794285697</v>
      </c>
    </row>
    <row r="9" spans="1:12" x14ac:dyDescent="0.25">
      <c r="A9" s="2">
        <v>5</v>
      </c>
      <c r="B9" s="2" t="s">
        <v>71</v>
      </c>
      <c r="C9" s="2">
        <f t="shared" si="0"/>
        <v>141617.4192</v>
      </c>
      <c r="D9" s="2">
        <f t="shared" si="1"/>
        <v>131704.19985600002</v>
      </c>
      <c r="E9" s="2">
        <f t="shared" si="2"/>
        <v>102388.51990000001</v>
      </c>
      <c r="F9" s="2">
        <f t="shared" si="3"/>
        <v>29315.679956000007</v>
      </c>
      <c r="G9" s="2">
        <f t="shared" si="4"/>
        <v>0</v>
      </c>
      <c r="H9" s="2">
        <f t="shared" si="5"/>
        <v>29315.679956000007</v>
      </c>
      <c r="I9" s="2">
        <f t="shared" si="6"/>
        <v>0</v>
      </c>
      <c r="J9" s="2">
        <f t="shared" si="7"/>
        <v>29315.679956000007</v>
      </c>
      <c r="K9" s="2">
        <f t="shared" si="8"/>
        <v>626712.07237870828</v>
      </c>
      <c r="L9" s="2">
        <f t="shared" si="9"/>
        <v>431359.29078114295</v>
      </c>
    </row>
    <row r="10" spans="1:12" x14ac:dyDescent="0.25">
      <c r="A10" s="2">
        <v>6</v>
      </c>
      <c r="B10" s="2" t="s">
        <v>71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105460.17549700002</v>
      </c>
      <c r="F10" s="2">
        <f t="shared" si="3"/>
        <v>30195.150354679994</v>
      </c>
      <c r="G10" s="2">
        <f t="shared" si="4"/>
        <v>0</v>
      </c>
      <c r="H10" s="2">
        <f t="shared" si="5"/>
        <v>30195.150354679994</v>
      </c>
      <c r="I10" s="2">
        <f t="shared" si="6"/>
        <v>0</v>
      </c>
      <c r="J10" s="2">
        <f t="shared" si="7"/>
        <v>30195.150354679994</v>
      </c>
      <c r="K10" s="2">
        <f t="shared" si="8"/>
        <v>617887.22118836944</v>
      </c>
      <c r="L10" s="2">
        <f t="shared" si="9"/>
        <v>444300.06950457703</v>
      </c>
    </row>
    <row r="11" spans="1:12" x14ac:dyDescent="0.25">
      <c r="A11" s="2">
        <v>7</v>
      </c>
      <c r="B11" s="2" t="s">
        <v>71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108623.98076191</v>
      </c>
      <c r="F11" s="2">
        <f t="shared" si="3"/>
        <v>31101.004865320399</v>
      </c>
      <c r="G11" s="2">
        <f t="shared" si="4"/>
        <v>0</v>
      </c>
      <c r="H11" s="2">
        <f t="shared" si="5"/>
        <v>31101.004865320399</v>
      </c>
      <c r="I11" s="2">
        <f t="shared" si="6"/>
        <v>0</v>
      </c>
      <c r="J11" s="2">
        <f t="shared" si="7"/>
        <v>31101.004865320399</v>
      </c>
      <c r="K11" s="2">
        <f t="shared" si="8"/>
        <v>608471.35337016673</v>
      </c>
      <c r="L11" s="2">
        <f t="shared" si="9"/>
        <v>457629.07158971438</v>
      </c>
    </row>
    <row r="12" spans="1:12" x14ac:dyDescent="0.25">
      <c r="A12" s="2">
        <v>8</v>
      </c>
      <c r="B12" s="2" t="s">
        <v>71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111882.70018476731</v>
      </c>
      <c r="F12" s="2">
        <f t="shared" si="3"/>
        <v>32034.035011280008</v>
      </c>
      <c r="G12" s="2">
        <f t="shared" si="4"/>
        <v>0</v>
      </c>
      <c r="H12" s="2">
        <f t="shared" si="5"/>
        <v>32034.035011280008</v>
      </c>
      <c r="I12" s="2">
        <f t="shared" si="6"/>
        <v>0</v>
      </c>
      <c r="J12" s="2">
        <f t="shared" si="7"/>
        <v>32034.035011280008</v>
      </c>
      <c r="K12" s="2">
        <f t="shared" si="8"/>
        <v>598424.88744596776</v>
      </c>
      <c r="L12" s="2">
        <f t="shared" si="9"/>
        <v>471357.94373740582</v>
      </c>
    </row>
    <row r="13" spans="1:12" x14ac:dyDescent="0.25">
      <c r="A13" s="2">
        <v>9</v>
      </c>
      <c r="B13" s="2" t="s">
        <v>71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115239.18119031034</v>
      </c>
      <c r="F13" s="2">
        <f t="shared" si="3"/>
        <v>32995.056061618408</v>
      </c>
      <c r="G13" s="2">
        <f t="shared" si="4"/>
        <v>0</v>
      </c>
      <c r="H13" s="2">
        <f t="shared" si="5"/>
        <v>32995.056061618408</v>
      </c>
      <c r="I13" s="2">
        <f t="shared" si="6"/>
        <v>0</v>
      </c>
      <c r="J13" s="2">
        <f t="shared" si="7"/>
        <v>32995.056061618408</v>
      </c>
      <c r="K13" s="2">
        <f t="shared" si="8"/>
        <v>587705.59109274484</v>
      </c>
      <c r="L13" s="2">
        <f t="shared" si="9"/>
        <v>485498.68204952794</v>
      </c>
    </row>
    <row r="14" spans="1:12" x14ac:dyDescent="0.25">
      <c r="A14" s="2">
        <v>10</v>
      </c>
      <c r="B14" s="2" t="s">
        <v>72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118696.35662601961</v>
      </c>
      <c r="F14" s="2">
        <f t="shared" si="3"/>
        <v>33984.90774346696</v>
      </c>
      <c r="G14" s="2">
        <f t="shared" si="4"/>
        <v>0</v>
      </c>
      <c r="H14" s="2">
        <f t="shared" si="5"/>
        <v>33984.90774346696</v>
      </c>
      <c r="I14" s="2">
        <f t="shared" si="6"/>
        <v>0</v>
      </c>
      <c r="J14" s="2">
        <f t="shared" si="7"/>
        <v>33984.90774346696</v>
      </c>
      <c r="K14" s="2">
        <f t="shared" si="8"/>
        <v>576268.40361058235</v>
      </c>
      <c r="L14" s="2">
        <f t="shared" si="9"/>
        <v>500063.64251101378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56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81</v>
      </c>
      <c r="J3" s="8" t="s">
        <v>82</v>
      </c>
      <c r="K3" s="8" t="s">
        <v>83</v>
      </c>
      <c r="L3" s="8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1200000</v>
      </c>
      <c r="L4" s="2">
        <f t="shared" ref="L4:L14" si="6">IF(ClassBReturnPriority=1,MIN(J4,K4),0)</f>
        <v>0</v>
      </c>
      <c r="M4" s="2">
        <f t="shared" ref="M4:M14" si="7">K4-L4</f>
        <v>1200000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14423.655913978495</v>
      </c>
      <c r="C5" s="2">
        <f t="shared" ref="C5:C14" si="13">H4</f>
        <v>24000</v>
      </c>
      <c r="D5" s="2">
        <f t="shared" si="0"/>
        <v>24000</v>
      </c>
      <c r="E5" s="2">
        <f t="shared" si="1"/>
        <v>14423.655913978495</v>
      </c>
      <c r="F5" s="2">
        <f t="shared" ref="F5:F14" si="14">I4</f>
        <v>300000</v>
      </c>
      <c r="G5" s="2">
        <f t="shared" si="2"/>
        <v>0</v>
      </c>
      <c r="H5" s="2">
        <f t="shared" si="3"/>
        <v>33576.344086021505</v>
      </c>
      <c r="I5" s="2">
        <f t="shared" si="4"/>
        <v>300000</v>
      </c>
      <c r="J5" s="2">
        <f t="shared" si="5"/>
        <v>0</v>
      </c>
      <c r="K5" s="2">
        <f t="shared" ref="K5:K14" si="15">M4</f>
        <v>1200000</v>
      </c>
      <c r="L5" s="2">
        <f t="shared" si="6"/>
        <v>0</v>
      </c>
      <c r="M5" s="2">
        <f t="shared" si="7"/>
        <v>1200000</v>
      </c>
      <c r="N5" s="2">
        <f t="shared" si="8"/>
        <v>0</v>
      </c>
      <c r="O5" s="2">
        <f t="shared" si="9"/>
        <v>0</v>
      </c>
      <c r="P5" s="2">
        <f t="shared" si="10"/>
        <v>14423.655913978495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351198.29416754888</v>
      </c>
      <c r="C6" s="2">
        <f t="shared" si="13"/>
        <v>33576.344086021505</v>
      </c>
      <c r="D6" s="2">
        <f t="shared" si="0"/>
        <v>24000</v>
      </c>
      <c r="E6" s="2">
        <f t="shared" si="1"/>
        <v>57576.344086021505</v>
      </c>
      <c r="F6" s="2">
        <f t="shared" si="14"/>
        <v>300000</v>
      </c>
      <c r="G6" s="2">
        <f t="shared" si="2"/>
        <v>293621.95008152735</v>
      </c>
      <c r="H6" s="2">
        <f t="shared" si="3"/>
        <v>0</v>
      </c>
      <c r="I6" s="2">
        <f t="shared" si="4"/>
        <v>6378.0499184726505</v>
      </c>
      <c r="J6" s="2">
        <f t="shared" si="5"/>
        <v>0</v>
      </c>
      <c r="K6" s="2">
        <f t="shared" si="15"/>
        <v>1200000</v>
      </c>
      <c r="L6" s="2">
        <f t="shared" si="6"/>
        <v>0</v>
      </c>
      <c r="M6" s="2">
        <f t="shared" si="7"/>
        <v>1200000</v>
      </c>
      <c r="N6" s="2">
        <f t="shared" si="8"/>
        <v>0</v>
      </c>
      <c r="O6" s="2">
        <f t="shared" si="9"/>
        <v>0</v>
      </c>
      <c r="P6" s="2">
        <f t="shared" si="10"/>
        <v>351198.29416754888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-21668.465832451169</v>
      </c>
      <c r="C7" s="2">
        <f t="shared" si="13"/>
        <v>0</v>
      </c>
      <c r="D7" s="2">
        <f t="shared" si="0"/>
        <v>510.24399347781207</v>
      </c>
      <c r="E7" s="2">
        <f t="shared" si="1"/>
        <v>-21668.465832451169</v>
      </c>
      <c r="F7" s="2">
        <f t="shared" si="14"/>
        <v>6378.0499184726505</v>
      </c>
      <c r="G7" s="2">
        <f t="shared" si="2"/>
        <v>0</v>
      </c>
      <c r="H7" s="2">
        <f t="shared" si="3"/>
        <v>22178.709825928981</v>
      </c>
      <c r="I7" s="2">
        <f t="shared" si="4"/>
        <v>6378.0499184726505</v>
      </c>
      <c r="J7" s="2">
        <f t="shared" si="5"/>
        <v>0</v>
      </c>
      <c r="K7" s="2">
        <f t="shared" si="15"/>
        <v>1200000</v>
      </c>
      <c r="L7" s="2">
        <f t="shared" si="6"/>
        <v>0</v>
      </c>
      <c r="M7" s="2">
        <f t="shared" si="7"/>
        <v>1200000</v>
      </c>
      <c r="N7" s="2">
        <f t="shared" si="8"/>
        <v>0</v>
      </c>
      <c r="O7" s="2">
        <f t="shared" si="9"/>
        <v>0</v>
      </c>
      <c r="P7" s="2">
        <f t="shared" si="10"/>
        <v>-21668.465832451169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389580.03875154862</v>
      </c>
      <c r="C8" s="2">
        <f t="shared" si="13"/>
        <v>22178.709825928981</v>
      </c>
      <c r="D8" s="2">
        <f t="shared" si="0"/>
        <v>510.24399347781207</v>
      </c>
      <c r="E8" s="2">
        <f t="shared" si="1"/>
        <v>22688.953819406794</v>
      </c>
      <c r="F8" s="2">
        <f t="shared" si="14"/>
        <v>6378.0499184726505</v>
      </c>
      <c r="G8" s="2">
        <f t="shared" si="2"/>
        <v>6378.0499184726505</v>
      </c>
      <c r="H8" s="2">
        <f t="shared" si="3"/>
        <v>0</v>
      </c>
      <c r="I8" s="2">
        <f t="shared" si="4"/>
        <v>0</v>
      </c>
      <c r="J8" s="2">
        <f t="shared" si="5"/>
        <v>360513.03501366917</v>
      </c>
      <c r="K8" s="2">
        <f t="shared" si="15"/>
        <v>1200000</v>
      </c>
      <c r="L8" s="2">
        <f t="shared" si="6"/>
        <v>360513.03501366917</v>
      </c>
      <c r="M8" s="2">
        <f t="shared" si="7"/>
        <v>839486.96498633083</v>
      </c>
      <c r="N8" s="2">
        <f t="shared" si="8"/>
        <v>0</v>
      </c>
      <c r="O8" s="2">
        <f t="shared" si="9"/>
        <v>0</v>
      </c>
      <c r="P8" s="2">
        <f t="shared" si="10"/>
        <v>29067.003737879444</v>
      </c>
      <c r="Q8" s="2">
        <f t="shared" si="11"/>
        <v>360513.03501366917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29315.679956000007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29315.679956000007</v>
      </c>
      <c r="K9" s="2">
        <f t="shared" si="15"/>
        <v>839486.96498633083</v>
      </c>
      <c r="L9" s="2">
        <f t="shared" si="6"/>
        <v>29315.679956000007</v>
      </c>
      <c r="M9" s="2">
        <f t="shared" si="7"/>
        <v>810171.28503033076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29315.679956000007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30195.150354679994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30195.150354679994</v>
      </c>
      <c r="K10" s="2">
        <f t="shared" si="15"/>
        <v>810171.28503033076</v>
      </c>
      <c r="L10" s="2">
        <f t="shared" si="6"/>
        <v>30195.150354679994</v>
      </c>
      <c r="M10" s="2">
        <f t="shared" si="7"/>
        <v>779976.13467565074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30195.150354679994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31101.004865320399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31101.004865320399</v>
      </c>
      <c r="K11" s="2">
        <f t="shared" si="15"/>
        <v>779976.13467565074</v>
      </c>
      <c r="L11" s="2">
        <f t="shared" si="6"/>
        <v>31101.004865320399</v>
      </c>
      <c r="M11" s="2">
        <f t="shared" si="7"/>
        <v>748875.12981033034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31101.004865320399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32034.035011280008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32034.035011280008</v>
      </c>
      <c r="K12" s="2">
        <f t="shared" si="15"/>
        <v>748875.12981033034</v>
      </c>
      <c r="L12" s="2">
        <f t="shared" si="6"/>
        <v>32034.035011280008</v>
      </c>
      <c r="M12" s="2">
        <f t="shared" si="7"/>
        <v>716841.09479905036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32034.035011280008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32995.056061618408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32995.056061618408</v>
      </c>
      <c r="K13" s="2">
        <f t="shared" si="15"/>
        <v>716841.09479905036</v>
      </c>
      <c r="L13" s="2">
        <f t="shared" si="6"/>
        <v>32995.056061618408</v>
      </c>
      <c r="M13" s="2">
        <f t="shared" si="7"/>
        <v>683846.03873743198</v>
      </c>
      <c r="N13" s="2">
        <f t="shared" si="8"/>
        <v>0</v>
      </c>
      <c r="O13" s="2">
        <f t="shared" si="9"/>
        <v>0</v>
      </c>
      <c r="P13" s="2">
        <f t="shared" si="10"/>
        <v>0</v>
      </c>
      <c r="Q13" s="2">
        <f t="shared" si="11"/>
        <v>32995.056061618408</v>
      </c>
      <c r="R13" s="2">
        <f t="shared" si="12"/>
        <v>0</v>
      </c>
    </row>
    <row r="14" spans="1:18" x14ac:dyDescent="0.25">
      <c r="A14" s="2">
        <v>10</v>
      </c>
      <c r="B14" s="2">
        <f>'Annual Model'!J14</f>
        <v>33984.90774346696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33984.90774346696</v>
      </c>
      <c r="K14" s="2">
        <f t="shared" si="15"/>
        <v>683846.03873743198</v>
      </c>
      <c r="L14" s="2">
        <f t="shared" si="6"/>
        <v>33984.90774346696</v>
      </c>
      <c r="M14" s="2">
        <f t="shared" si="7"/>
        <v>649861.13099396508</v>
      </c>
      <c r="N14" s="2">
        <f t="shared" si="8"/>
        <v>0</v>
      </c>
      <c r="O14" s="2">
        <f t="shared" si="9"/>
        <v>0</v>
      </c>
      <c r="P14" s="2">
        <f t="shared" si="10"/>
        <v>0</v>
      </c>
      <c r="Q14" s="2">
        <f t="shared" si="11"/>
        <v>33984.90774346696</v>
      </c>
      <c r="R14" s="2">
        <f t="shared" si="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19" t="s">
        <v>91</v>
      </c>
      <c r="B1" s="18"/>
      <c r="C1" s="18"/>
      <c r="D1" s="18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92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  <c r="L3" s="8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20" x14ac:dyDescent="0.25">
      <c r="A4" s="2" t="s">
        <v>110</v>
      </c>
      <c r="B4" s="2">
        <f>ClassACapital</f>
        <v>300000</v>
      </c>
      <c r="C4" s="2">
        <f>SUM(Waterfall!P4:P14)</f>
        <v>373020.48798695562</v>
      </c>
      <c r="D4" s="2">
        <f>C4-B4</f>
        <v>73020.487986955617</v>
      </c>
      <c r="E4" s="2">
        <f>C4/B4</f>
        <v>1.2434016266231853</v>
      </c>
      <c r="F4" s="2">
        <f>D4/B4</f>
        <v>0.2434016266231854</v>
      </c>
      <c r="G4" s="2">
        <f>IRR(H4:R4)</f>
        <v>0.11243506120980951</v>
      </c>
      <c r="H4" s="2">
        <f>-B4</f>
        <v>-300000</v>
      </c>
      <c r="I4" s="2">
        <f>Waterfall!P5</f>
        <v>14423.655913978495</v>
      </c>
      <c r="J4" s="2">
        <f>Waterfall!P6</f>
        <v>351198.29416754888</v>
      </c>
      <c r="K4" s="2">
        <f>Waterfall!P7</f>
        <v>-21668.465832451169</v>
      </c>
      <c r="L4" s="2">
        <f>Waterfall!P8</f>
        <v>29067.003737879444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111</v>
      </c>
      <c r="B5" s="2">
        <f>ClassBCapital</f>
        <v>1200000</v>
      </c>
      <c r="C5" s="2">
        <f>SUM(Waterfall!Q4:Q14)</f>
        <v>550138.86900603492</v>
      </c>
      <c r="D5" s="2">
        <f>C5-B5</f>
        <v>-649861.13099396508</v>
      </c>
      <c r="E5" s="2">
        <f>IFERROR(C5/B5,0)</f>
        <v>0.45844905750502912</v>
      </c>
      <c r="F5" s="2">
        <f>IFERROR(D5/B5,0)</f>
        <v>-0.54155094249497093</v>
      </c>
      <c r="G5" s="2">
        <f>IFERROR(IRR(H5:R5),0)</f>
        <v>-0.13122125892818282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360513.03501366917</v>
      </c>
      <c r="M5" s="2">
        <f>Waterfall!Q9</f>
        <v>29315.679956000007</v>
      </c>
      <c r="N5" s="2">
        <f>Waterfall!Q10</f>
        <v>30195.150354679994</v>
      </c>
      <c r="O5" s="2">
        <f>Waterfall!Q11</f>
        <v>31101.004865320399</v>
      </c>
      <c r="P5" s="2">
        <f>Waterfall!Q12</f>
        <v>32034.035011280008</v>
      </c>
      <c r="Q5" s="2">
        <f>Waterfall!Q13</f>
        <v>32995.056061618408</v>
      </c>
      <c r="R5" s="2">
        <f>Waterfall!Q14</f>
        <v>33984.90774346696</v>
      </c>
    </row>
    <row r="6" spans="1:20" x14ac:dyDescent="0.25">
      <c r="A6" s="2" t="s">
        <v>112</v>
      </c>
      <c r="B6" s="2">
        <f>SponsorBasis</f>
        <v>150000</v>
      </c>
      <c r="C6" s="2">
        <f>SUM(Waterfall!R4:R14)</f>
        <v>0</v>
      </c>
      <c r="D6" s="2">
        <f>C6-B6</f>
        <v>-150000</v>
      </c>
      <c r="E6" s="2">
        <f>IFERROR(C6/B6,0)</f>
        <v>0</v>
      </c>
      <c r="F6" s="2">
        <f>IFERROR(D6/B6,0)</f>
        <v>-1</v>
      </c>
      <c r="G6" s="2">
        <f>IFERROR(IRR(H6:R6),0)</f>
        <v>0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0</v>
      </c>
      <c r="R6" s="2">
        <f>Waterfall!R14</f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113</v>
      </c>
      <c r="B9" s="17" t="s">
        <v>114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115</v>
      </c>
      <c r="B1" s="2"/>
    </row>
    <row r="2" spans="1:2" x14ac:dyDescent="0.25">
      <c r="A2" s="2"/>
      <c r="B2" s="2"/>
    </row>
    <row r="3" spans="1:2" x14ac:dyDescent="0.25">
      <c r="A3" s="6" t="s">
        <v>116</v>
      </c>
      <c r="B3" s="2" t="s">
        <v>117</v>
      </c>
    </row>
    <row r="4" spans="1:2" x14ac:dyDescent="0.25">
      <c r="A4" s="6" t="s">
        <v>118</v>
      </c>
      <c r="B4" s="2" t="s">
        <v>119</v>
      </c>
    </row>
    <row r="5" spans="1:2" x14ac:dyDescent="0.25">
      <c r="A5" s="6" t="s">
        <v>110</v>
      </c>
      <c r="B5" s="2" t="s">
        <v>120</v>
      </c>
    </row>
    <row r="6" spans="1:2" x14ac:dyDescent="0.25">
      <c r="A6" s="6" t="s">
        <v>111</v>
      </c>
      <c r="B6" s="2" t="s">
        <v>121</v>
      </c>
    </row>
    <row r="7" spans="1:2" x14ac:dyDescent="0.25">
      <c r="A7" s="6" t="s">
        <v>112</v>
      </c>
      <c r="B7" s="2" t="s">
        <v>122</v>
      </c>
    </row>
    <row r="8" spans="1:2" x14ac:dyDescent="0.25">
      <c r="A8" s="6" t="s">
        <v>123</v>
      </c>
      <c r="B8" s="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6"/>
  <sheetViews>
    <sheetView tabSelected="1" workbookViewId="0">
      <selection activeCell="B20" sqref="B20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</cols>
  <sheetData>
    <row r="1" spans="1:7" x14ac:dyDescent="0.25">
      <c r="A1" s="2" t="s">
        <v>125</v>
      </c>
      <c r="B1" s="2"/>
      <c r="C1" s="2"/>
    </row>
    <row r="2" spans="1:7" x14ac:dyDescent="0.25">
      <c r="A2" s="2" t="s">
        <v>126</v>
      </c>
      <c r="B2" s="20" t="s">
        <v>127</v>
      </c>
      <c r="C2" s="18"/>
      <c r="D2" s="18"/>
    </row>
    <row r="3" spans="1:7" x14ac:dyDescent="0.25">
      <c r="A3" s="2" t="s">
        <v>128</v>
      </c>
      <c r="B3" s="21" t="s">
        <v>129</v>
      </c>
      <c r="C3" s="22"/>
      <c r="D3" s="22"/>
      <c r="E3" s="22"/>
      <c r="F3" s="22"/>
      <c r="G3" s="22"/>
    </row>
    <row r="4" spans="1:7" x14ac:dyDescent="0.25">
      <c r="A4" s="2"/>
      <c r="B4" s="2"/>
      <c r="C4" s="2"/>
    </row>
    <row r="5" spans="1:7" x14ac:dyDescent="0.25">
      <c r="A5" s="2" t="s">
        <v>130</v>
      </c>
      <c r="B5" s="16" t="s">
        <v>131</v>
      </c>
      <c r="C5" s="16" t="s">
        <v>132</v>
      </c>
    </row>
    <row r="6" spans="1:7" x14ac:dyDescent="0.25">
      <c r="A6" s="2" t="s">
        <v>133</v>
      </c>
      <c r="B6" s="2">
        <f>ProjectDebtPayoffAtRefi</f>
        <v>276328.39999999997</v>
      </c>
      <c r="C6" s="2" t="s">
        <v>134</v>
      </c>
    </row>
    <row r="7" spans="1:7" x14ac:dyDescent="0.25">
      <c r="A7" s="2" t="s">
        <v>135</v>
      </c>
      <c r="B7" s="2">
        <f>PermanentLoanAmount</f>
        <v>650000</v>
      </c>
      <c r="C7" s="2" t="s">
        <v>134</v>
      </c>
    </row>
    <row r="8" spans="1:7" x14ac:dyDescent="0.25">
      <c r="A8" s="2" t="s">
        <v>136</v>
      </c>
      <c r="B8" s="2">
        <f>ClassACapital</f>
        <v>300000</v>
      </c>
      <c r="C8" s="2" t="s">
        <v>134</v>
      </c>
    </row>
    <row r="9" spans="1:7" x14ac:dyDescent="0.25">
      <c r="A9" s="2" t="s">
        <v>137</v>
      </c>
      <c r="B9" s="2">
        <f>ClassBCapital</f>
        <v>1200000</v>
      </c>
      <c r="C9" s="2" t="s">
        <v>134</v>
      </c>
    </row>
    <row r="10" spans="1:7" x14ac:dyDescent="0.25">
      <c r="A10" s="2" t="s">
        <v>138</v>
      </c>
      <c r="B10" s="2">
        <f>SponsorBasis</f>
        <v>150000</v>
      </c>
      <c r="C10" s="2" t="s">
        <v>134</v>
      </c>
    </row>
    <row r="11" spans="1:7" x14ac:dyDescent="0.25">
      <c r="A11" s="2" t="s">
        <v>166</v>
      </c>
      <c r="B11" s="2">
        <f>B8+B9</f>
        <v>1500000</v>
      </c>
      <c r="C11" s="2" t="s">
        <v>167</v>
      </c>
    </row>
    <row r="12" spans="1:7" x14ac:dyDescent="0.25">
      <c r="A12" s="2"/>
      <c r="B12" s="2"/>
      <c r="C12" s="2"/>
    </row>
    <row r="13" spans="1:7" x14ac:dyDescent="0.25">
      <c r="A13" s="12" t="s">
        <v>213</v>
      </c>
      <c r="B13" s="16" t="s">
        <v>139</v>
      </c>
      <c r="C13" s="16" t="s">
        <v>140</v>
      </c>
    </row>
    <row r="14" spans="1:7" x14ac:dyDescent="0.25">
      <c r="A14" s="2" t="s">
        <v>281</v>
      </c>
      <c r="B14" s="2">
        <f>B32</f>
        <v>750000</v>
      </c>
      <c r="C14" s="2">
        <f>C32</f>
        <v>1500000</v>
      </c>
    </row>
    <row r="15" spans="1:7" x14ac:dyDescent="0.25">
      <c r="A15" s="2" t="s">
        <v>282</v>
      </c>
      <c r="B15" s="2">
        <f>B46+B55+B64</f>
        <v>1880000</v>
      </c>
      <c r="C15" s="2">
        <f>C46+C55+C64</f>
        <v>4160000</v>
      </c>
    </row>
    <row r="16" spans="1:7" x14ac:dyDescent="0.25">
      <c r="A16" s="12" t="s">
        <v>214</v>
      </c>
      <c r="B16" s="12" t="s">
        <v>215</v>
      </c>
      <c r="C16" s="12" t="s">
        <v>215</v>
      </c>
    </row>
    <row r="17" spans="1:3" x14ac:dyDescent="0.25">
      <c r="A17" s="2" t="s">
        <v>216</v>
      </c>
      <c r="B17" s="2">
        <f>B14</f>
        <v>750000</v>
      </c>
      <c r="C17" s="2">
        <f>C14</f>
        <v>1500000</v>
      </c>
    </row>
    <row r="18" spans="1:3" x14ac:dyDescent="0.25">
      <c r="A18" s="2"/>
      <c r="B18" s="2"/>
      <c r="C18" s="2"/>
    </row>
    <row r="19" spans="1:3" x14ac:dyDescent="0.25">
      <c r="A19" s="10" t="s">
        <v>283</v>
      </c>
      <c r="B19" t="s">
        <v>172</v>
      </c>
      <c r="C19" t="s">
        <v>173</v>
      </c>
    </row>
    <row r="20" spans="1:3" x14ac:dyDescent="0.25">
      <c r="A20" t="s">
        <v>200</v>
      </c>
      <c r="B20" s="2">
        <v>750000</v>
      </c>
      <c r="C20" s="2">
        <v>1500000</v>
      </c>
    </row>
    <row r="21" spans="1:3" x14ac:dyDescent="0.25">
      <c r="A21" t="s">
        <v>174</v>
      </c>
      <c r="B21" s="2">
        <v>150</v>
      </c>
      <c r="C21" s="2">
        <v>300</v>
      </c>
    </row>
    <row r="22" spans="1:3" x14ac:dyDescent="0.25">
      <c r="A22" t="s">
        <v>175</v>
      </c>
      <c r="B22" s="2">
        <v>125</v>
      </c>
      <c r="C22" s="2">
        <v>250</v>
      </c>
    </row>
    <row r="23" spans="1:3" x14ac:dyDescent="0.25">
      <c r="B23" s="2"/>
      <c r="C23" s="2"/>
    </row>
    <row r="24" spans="1:3" x14ac:dyDescent="0.25">
      <c r="A24" s="10" t="s">
        <v>212</v>
      </c>
      <c r="B24" s="2" t="s">
        <v>139</v>
      </c>
      <c r="C24" s="2" t="s">
        <v>140</v>
      </c>
    </row>
    <row r="25" spans="1:3" x14ac:dyDescent="0.25">
      <c r="A25" t="s">
        <v>176</v>
      </c>
      <c r="B25" s="2">
        <v>75000</v>
      </c>
      <c r="C25" s="2">
        <v>175000</v>
      </c>
    </row>
    <row r="26" spans="1:3" x14ac:dyDescent="0.25">
      <c r="A26" t="s">
        <v>177</v>
      </c>
      <c r="B26" s="2">
        <v>50000</v>
      </c>
      <c r="C26" s="2">
        <v>125000</v>
      </c>
    </row>
    <row r="27" spans="1:3" x14ac:dyDescent="0.25">
      <c r="A27" t="s">
        <v>178</v>
      </c>
      <c r="B27" s="2">
        <v>390000</v>
      </c>
      <c r="C27" s="2">
        <v>610000</v>
      </c>
    </row>
    <row r="28" spans="1:3" x14ac:dyDescent="0.25">
      <c r="A28" t="s">
        <v>179</v>
      </c>
      <c r="B28" s="2">
        <v>55000</v>
      </c>
      <c r="C28" s="2">
        <v>110000</v>
      </c>
    </row>
    <row r="29" spans="1:3" x14ac:dyDescent="0.25">
      <c r="A29" t="s">
        <v>180</v>
      </c>
      <c r="B29" s="2">
        <v>90000</v>
      </c>
      <c r="C29" s="2">
        <v>225000</v>
      </c>
    </row>
    <row r="30" spans="1:3" x14ac:dyDescent="0.25">
      <c r="A30" t="s">
        <v>163</v>
      </c>
      <c r="B30" s="2">
        <v>30000</v>
      </c>
      <c r="C30" s="2">
        <v>100000</v>
      </c>
    </row>
    <row r="31" spans="1:3" x14ac:dyDescent="0.25">
      <c r="A31" t="s">
        <v>181</v>
      </c>
      <c r="B31" s="2">
        <v>60000</v>
      </c>
      <c r="C31" s="2">
        <v>155000</v>
      </c>
    </row>
    <row r="32" spans="1:3" x14ac:dyDescent="0.25">
      <c r="A32" s="13" t="s">
        <v>182</v>
      </c>
      <c r="B32" s="12">
        <f>SUM(B25:B31)</f>
        <v>750000</v>
      </c>
      <c r="C32" s="12">
        <f>SUM(C25:C31)</f>
        <v>1500000</v>
      </c>
    </row>
    <row r="33" spans="1:3" x14ac:dyDescent="0.25">
      <c r="A33" s="2" t="s">
        <v>142</v>
      </c>
      <c r="B33" s="16" t="s">
        <v>139</v>
      </c>
      <c r="C33" s="16" t="s">
        <v>140</v>
      </c>
    </row>
    <row r="34" spans="1:3" x14ac:dyDescent="0.25">
      <c r="A34" s="2" t="s">
        <v>141</v>
      </c>
      <c r="B34" s="2">
        <f>B17</f>
        <v>750000</v>
      </c>
      <c r="C34" s="2">
        <f>C17</f>
        <v>1500000</v>
      </c>
    </row>
    <row r="35" spans="1:3" x14ac:dyDescent="0.25">
      <c r="A35" s="2" t="s">
        <v>168</v>
      </c>
      <c r="B35" s="2">
        <f>B11</f>
        <v>1500000</v>
      </c>
      <c r="C35" s="2">
        <f>B11</f>
        <v>1500000</v>
      </c>
    </row>
    <row r="36" spans="1:3" x14ac:dyDescent="0.25">
      <c r="A36" s="2" t="s">
        <v>143</v>
      </c>
      <c r="B36" s="2">
        <f>MAX(0,B34-B35)</f>
        <v>0</v>
      </c>
      <c r="C36" s="2">
        <f>MAX(0,C34-C35)</f>
        <v>0</v>
      </c>
    </row>
    <row r="37" spans="1:3" x14ac:dyDescent="0.25">
      <c r="A37" s="2"/>
      <c r="B37" s="2"/>
      <c r="C37" s="2"/>
    </row>
    <row r="38" spans="1:3" x14ac:dyDescent="0.25">
      <c r="A38" s="15" t="s">
        <v>209</v>
      </c>
      <c r="B38" s="14" t="s">
        <v>139</v>
      </c>
      <c r="C38" s="14" t="s">
        <v>140</v>
      </c>
    </row>
    <row r="39" spans="1:3" x14ac:dyDescent="0.25">
      <c r="A39" s="14" t="s">
        <v>144</v>
      </c>
      <c r="B39" s="14">
        <v>35000</v>
      </c>
      <c r="C39" s="14">
        <v>90000</v>
      </c>
    </row>
    <row r="40" spans="1:3" x14ac:dyDescent="0.25">
      <c r="A40" s="14" t="s">
        <v>145</v>
      </c>
      <c r="B40" s="14">
        <v>20000</v>
      </c>
      <c r="C40" s="14">
        <v>60000</v>
      </c>
    </row>
    <row r="41" spans="1:3" x14ac:dyDescent="0.25">
      <c r="A41" s="14" t="s">
        <v>146</v>
      </c>
      <c r="B41" s="14">
        <v>20000</v>
      </c>
      <c r="C41" s="14">
        <v>90000</v>
      </c>
    </row>
    <row r="42" spans="1:3" x14ac:dyDescent="0.25">
      <c r="A42" s="14" t="s">
        <v>147</v>
      </c>
      <c r="B42" s="14">
        <v>10000</v>
      </c>
      <c r="C42" s="14">
        <v>30000</v>
      </c>
    </row>
    <row r="43" spans="1:3" x14ac:dyDescent="0.25">
      <c r="A43" s="14" t="s">
        <v>148</v>
      </c>
      <c r="B43" s="14">
        <v>15000</v>
      </c>
      <c r="C43" s="14">
        <v>50000</v>
      </c>
    </row>
    <row r="44" spans="1:3" x14ac:dyDescent="0.25">
      <c r="A44" s="14" t="s">
        <v>149</v>
      </c>
      <c r="B44" s="14">
        <v>15000</v>
      </c>
      <c r="C44" s="14">
        <v>40000</v>
      </c>
    </row>
    <row r="45" spans="1:3" x14ac:dyDescent="0.25">
      <c r="A45" s="14" t="s">
        <v>150</v>
      </c>
      <c r="B45" s="14">
        <v>15000</v>
      </c>
      <c r="C45" s="14">
        <v>45000</v>
      </c>
    </row>
    <row r="46" spans="1:3" x14ac:dyDescent="0.25">
      <c r="A46" s="14" t="s">
        <v>151</v>
      </c>
      <c r="B46" s="14">
        <f>SUM(B39:B45)</f>
        <v>130000</v>
      </c>
      <c r="C46" s="14">
        <f>SUM(C39:C45)</f>
        <v>405000</v>
      </c>
    </row>
    <row r="47" spans="1:3" x14ac:dyDescent="0.25">
      <c r="A47" s="14"/>
      <c r="B47" s="14"/>
      <c r="C47" s="14"/>
    </row>
    <row r="48" spans="1:3" x14ac:dyDescent="0.25">
      <c r="A48" s="14" t="s">
        <v>210</v>
      </c>
      <c r="B48" s="14" t="s">
        <v>139</v>
      </c>
      <c r="C48" s="14" t="s">
        <v>140</v>
      </c>
    </row>
    <row r="49" spans="1:3" x14ac:dyDescent="0.25">
      <c r="A49" s="14" t="s">
        <v>152</v>
      </c>
      <c r="B49" s="14">
        <v>50000</v>
      </c>
      <c r="C49" s="14">
        <v>150000</v>
      </c>
    </row>
    <row r="50" spans="1:3" x14ac:dyDescent="0.25">
      <c r="A50" s="14" t="s">
        <v>153</v>
      </c>
      <c r="B50" s="14">
        <v>40000</v>
      </c>
      <c r="C50" s="14">
        <v>120000</v>
      </c>
    </row>
    <row r="51" spans="1:3" x14ac:dyDescent="0.25">
      <c r="A51" s="14" t="s">
        <v>154</v>
      </c>
      <c r="B51" s="14">
        <v>25000</v>
      </c>
      <c r="C51" s="14">
        <v>75000</v>
      </c>
    </row>
    <row r="52" spans="1:3" x14ac:dyDescent="0.25">
      <c r="A52" s="14" t="s">
        <v>155</v>
      </c>
      <c r="B52" s="14">
        <v>10000</v>
      </c>
      <c r="C52" s="14">
        <v>30000</v>
      </c>
    </row>
    <row r="53" spans="1:3" x14ac:dyDescent="0.25">
      <c r="A53" s="14" t="s">
        <v>156</v>
      </c>
      <c r="B53" s="14">
        <v>20000</v>
      </c>
      <c r="C53" s="14">
        <v>60000</v>
      </c>
    </row>
    <row r="54" spans="1:3" x14ac:dyDescent="0.25">
      <c r="A54" s="14" t="s">
        <v>157</v>
      </c>
      <c r="B54" s="14">
        <v>40000</v>
      </c>
      <c r="C54" s="14">
        <v>125000</v>
      </c>
    </row>
    <row r="55" spans="1:3" x14ac:dyDescent="0.25">
      <c r="A55" s="14" t="s">
        <v>158</v>
      </c>
      <c r="B55" s="14">
        <f>SUM(B49:B54)</f>
        <v>185000</v>
      </c>
      <c r="C55" s="14">
        <f>SUM(C49:C54)</f>
        <v>560000</v>
      </c>
    </row>
    <row r="56" spans="1:3" x14ac:dyDescent="0.25">
      <c r="A56" s="14"/>
      <c r="B56" s="14"/>
      <c r="C56" s="14"/>
    </row>
    <row r="57" spans="1:3" x14ac:dyDescent="0.25">
      <c r="A57" s="14" t="s">
        <v>211</v>
      </c>
      <c r="B57" s="14" t="s">
        <v>139</v>
      </c>
      <c r="C57" s="14" t="s">
        <v>140</v>
      </c>
    </row>
    <row r="58" spans="1:3" x14ac:dyDescent="0.25">
      <c r="A58" s="14" t="s">
        <v>159</v>
      </c>
      <c r="B58" s="14">
        <v>1125000</v>
      </c>
      <c r="C58" s="14">
        <v>1950000</v>
      </c>
    </row>
    <row r="59" spans="1:3" x14ac:dyDescent="0.25">
      <c r="A59" s="14" t="s">
        <v>160</v>
      </c>
      <c r="B59" s="14">
        <v>125000</v>
      </c>
      <c r="C59" s="14">
        <v>350000</v>
      </c>
    </row>
    <row r="60" spans="1:3" x14ac:dyDescent="0.25">
      <c r="A60" s="14" t="s">
        <v>161</v>
      </c>
      <c r="B60" s="14">
        <v>35000</v>
      </c>
      <c r="C60" s="14">
        <v>125000</v>
      </c>
    </row>
    <row r="61" spans="1:3" x14ac:dyDescent="0.25">
      <c r="A61" s="14" t="s">
        <v>162</v>
      </c>
      <c r="B61" s="14">
        <v>75000</v>
      </c>
      <c r="C61" s="14">
        <v>300000</v>
      </c>
    </row>
    <row r="62" spans="1:3" x14ac:dyDescent="0.25">
      <c r="A62" s="14" t="s">
        <v>163</v>
      </c>
      <c r="B62" s="14">
        <v>60000</v>
      </c>
      <c r="C62" s="14">
        <v>180000</v>
      </c>
    </row>
    <row r="63" spans="1:3" x14ac:dyDescent="0.25">
      <c r="A63" s="14" t="s">
        <v>164</v>
      </c>
      <c r="B63" s="14">
        <v>145000</v>
      </c>
      <c r="C63" s="14">
        <v>290000</v>
      </c>
    </row>
    <row r="64" spans="1:3" x14ac:dyDescent="0.25">
      <c r="A64" s="14" t="s">
        <v>165</v>
      </c>
      <c r="B64" s="14">
        <f>SUM(B58:B63)</f>
        <v>1565000</v>
      </c>
      <c r="C64" s="14">
        <f>SUM(C58:C63)</f>
        <v>3195000</v>
      </c>
    </row>
    <row r="66" spans="1:5" x14ac:dyDescent="0.25">
      <c r="A66" s="10" t="s">
        <v>169</v>
      </c>
    </row>
    <row r="67" spans="1:5" x14ac:dyDescent="0.25">
      <c r="A67" t="s">
        <v>170</v>
      </c>
      <c r="B67" s="18" t="s">
        <v>171</v>
      </c>
      <c r="C67" s="18"/>
      <c r="D67" s="18"/>
    </row>
    <row r="70" spans="1:5" x14ac:dyDescent="0.25">
      <c r="A70" s="10" t="s">
        <v>183</v>
      </c>
    </row>
    <row r="71" spans="1:5" x14ac:dyDescent="0.25">
      <c r="A71" t="s">
        <v>184</v>
      </c>
      <c r="B71" s="11" t="s">
        <v>199</v>
      </c>
      <c r="C71" s="18" t="s">
        <v>201</v>
      </c>
      <c r="D71" s="18"/>
      <c r="E71" s="18"/>
    </row>
    <row r="72" spans="1:5" x14ac:dyDescent="0.25">
      <c r="A72" t="s">
        <v>185</v>
      </c>
      <c r="B72" s="11" t="s">
        <v>199</v>
      </c>
      <c r="C72" s="18" t="s">
        <v>201</v>
      </c>
      <c r="D72" s="18"/>
      <c r="E72" s="18"/>
    </row>
    <row r="73" spans="1:5" x14ac:dyDescent="0.25">
      <c r="A73" t="s">
        <v>186</v>
      </c>
      <c r="B73" s="11" t="s">
        <v>199</v>
      </c>
      <c r="C73" s="18" t="s">
        <v>201</v>
      </c>
      <c r="D73" s="18"/>
      <c r="E73" s="18"/>
    </row>
    <row r="74" spans="1:5" x14ac:dyDescent="0.25">
      <c r="A74" t="s">
        <v>187</v>
      </c>
      <c r="B74" s="11" t="s">
        <v>199</v>
      </c>
      <c r="C74" s="18" t="s">
        <v>201</v>
      </c>
      <c r="D74" s="18"/>
      <c r="E74" s="18"/>
    </row>
    <row r="75" spans="1:5" x14ac:dyDescent="0.25">
      <c r="A75" t="s">
        <v>188</v>
      </c>
      <c r="B75" s="11" t="s">
        <v>208</v>
      </c>
      <c r="C75" s="18" t="s">
        <v>202</v>
      </c>
      <c r="D75" s="18"/>
      <c r="E75" s="18"/>
    </row>
    <row r="76" spans="1:5" x14ac:dyDescent="0.25">
      <c r="A76" t="s">
        <v>189</v>
      </c>
      <c r="B76" s="11" t="s">
        <v>199</v>
      </c>
      <c r="C76" s="18" t="s">
        <v>203</v>
      </c>
      <c r="D76" s="18"/>
      <c r="E76" s="18"/>
    </row>
    <row r="77" spans="1:5" x14ac:dyDescent="0.25">
      <c r="A77" t="s">
        <v>190</v>
      </c>
      <c r="B77" s="11" t="s">
        <v>199</v>
      </c>
      <c r="C77" s="18" t="s">
        <v>204</v>
      </c>
      <c r="D77" s="18"/>
      <c r="E77" s="18"/>
    </row>
    <row r="78" spans="1:5" x14ac:dyDescent="0.25">
      <c r="A78" t="s">
        <v>191</v>
      </c>
      <c r="B78" s="11" t="s">
        <v>199</v>
      </c>
      <c r="C78" s="18" t="s">
        <v>205</v>
      </c>
      <c r="D78" s="18"/>
      <c r="E78" s="18"/>
    </row>
    <row r="80" spans="1:5" x14ac:dyDescent="0.25">
      <c r="A80" s="10" t="s">
        <v>192</v>
      </c>
    </row>
    <row r="81" spans="1:5" x14ac:dyDescent="0.25">
      <c r="A81" t="s">
        <v>193</v>
      </c>
      <c r="B81" s="11" t="s">
        <v>199</v>
      </c>
      <c r="C81" s="18" t="s">
        <v>206</v>
      </c>
      <c r="D81" s="18"/>
      <c r="E81" s="18"/>
    </row>
    <row r="82" spans="1:5" x14ac:dyDescent="0.25">
      <c r="A82" t="s">
        <v>194</v>
      </c>
      <c r="B82" s="11" t="s">
        <v>208</v>
      </c>
    </row>
    <row r="83" spans="1:5" x14ac:dyDescent="0.25">
      <c r="A83" t="s">
        <v>195</v>
      </c>
      <c r="B83" s="11" t="s">
        <v>208</v>
      </c>
    </row>
    <row r="84" spans="1:5" x14ac:dyDescent="0.25">
      <c r="A84" t="s">
        <v>196</v>
      </c>
      <c r="B84" s="11" t="s">
        <v>208</v>
      </c>
    </row>
    <row r="85" spans="1:5" x14ac:dyDescent="0.25">
      <c r="A85" t="s">
        <v>197</v>
      </c>
      <c r="B85" s="11" t="s">
        <v>208</v>
      </c>
    </row>
    <row r="86" spans="1:5" x14ac:dyDescent="0.25">
      <c r="A86" t="s">
        <v>198</v>
      </c>
      <c r="B86" s="11" t="s">
        <v>199</v>
      </c>
      <c r="C86" s="18" t="s">
        <v>207</v>
      </c>
      <c r="D86" s="18"/>
      <c r="E86" s="18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C36"/>
  <sheetViews>
    <sheetView workbookViewId="0"/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3" x14ac:dyDescent="0.25">
      <c r="A1" s="10" t="s">
        <v>217</v>
      </c>
      <c r="B1" s="10"/>
      <c r="C1" s="10"/>
    </row>
    <row r="3" spans="1:3" x14ac:dyDescent="0.25">
      <c r="A3" s="10" t="s">
        <v>218</v>
      </c>
      <c r="B3" s="10"/>
      <c r="C3" s="10"/>
    </row>
    <row r="4" spans="1:3" x14ac:dyDescent="0.25">
      <c r="A4" t="s">
        <v>219</v>
      </c>
      <c r="B4" t="b">
        <v>1</v>
      </c>
      <c r="C4" t="s">
        <v>220</v>
      </c>
    </row>
    <row r="5" spans="1:3" x14ac:dyDescent="0.25">
      <c r="A5" t="s">
        <v>221</v>
      </c>
      <c r="B5" s="1">
        <v>0.4</v>
      </c>
      <c r="C5" t="s">
        <v>222</v>
      </c>
    </row>
    <row r="6" spans="1:3" x14ac:dyDescent="0.25">
      <c r="A6" t="s">
        <v>223</v>
      </c>
      <c r="B6" s="1">
        <f>IFERROR(B36/B10,0)</f>
        <v>0.77741271737687512</v>
      </c>
      <c r="C6" t="s">
        <v>224</v>
      </c>
    </row>
    <row r="7" spans="1:3" x14ac:dyDescent="0.25">
      <c r="A7" t="s">
        <v>225</v>
      </c>
      <c r="B7" s="1">
        <f>IF(B4,B6,B5)</f>
        <v>0.77741271737687512</v>
      </c>
      <c r="C7" t="s">
        <v>226</v>
      </c>
    </row>
    <row r="9" spans="1:3" x14ac:dyDescent="0.25">
      <c r="A9" s="10" t="s">
        <v>227</v>
      </c>
      <c r="B9" s="10"/>
      <c r="C9" s="10"/>
    </row>
    <row r="10" spans="1:3" x14ac:dyDescent="0.25">
      <c r="A10" t="s">
        <v>228</v>
      </c>
      <c r="B10" s="2">
        <f>StabilizedMonthlyGrossRent*12*StabilizedOccupancy</f>
        <v>120528</v>
      </c>
      <c r="C10" t="s">
        <v>229</v>
      </c>
    </row>
    <row r="11" spans="1:3" x14ac:dyDescent="0.25">
      <c r="B11" s="2"/>
    </row>
    <row r="12" spans="1:3" x14ac:dyDescent="0.25">
      <c r="A12" s="10" t="s">
        <v>230</v>
      </c>
      <c r="B12" s="12" t="s">
        <v>231</v>
      </c>
      <c r="C12" s="10" t="s">
        <v>232</v>
      </c>
    </row>
    <row r="13" spans="1:3" x14ac:dyDescent="0.25">
      <c r="A13" t="s">
        <v>233</v>
      </c>
      <c r="B13" s="2">
        <v>12000</v>
      </c>
      <c r="C13" t="s">
        <v>234</v>
      </c>
    </row>
    <row r="14" spans="1:3" x14ac:dyDescent="0.25">
      <c r="A14" t="s">
        <v>235</v>
      </c>
      <c r="B14" s="2">
        <v>9000</v>
      </c>
      <c r="C14" t="s">
        <v>236</v>
      </c>
    </row>
    <row r="15" spans="1:3" x14ac:dyDescent="0.25">
      <c r="A15" t="s">
        <v>237</v>
      </c>
      <c r="B15" s="2">
        <v>7800</v>
      </c>
      <c r="C15" t="s">
        <v>238</v>
      </c>
    </row>
    <row r="16" spans="1:3" x14ac:dyDescent="0.25">
      <c r="A16" t="s">
        <v>239</v>
      </c>
      <c r="B16" s="2">
        <v>7200</v>
      </c>
      <c r="C16" t="s">
        <v>240</v>
      </c>
    </row>
    <row r="17" spans="1:3" x14ac:dyDescent="0.25">
      <c r="A17" t="s">
        <v>241</v>
      </c>
      <c r="B17" s="2">
        <v>1800</v>
      </c>
      <c r="C17" t="s">
        <v>242</v>
      </c>
    </row>
    <row r="18" spans="1:3" x14ac:dyDescent="0.25">
      <c r="A18" t="s">
        <v>243</v>
      </c>
      <c r="B18" s="2">
        <v>2400</v>
      </c>
      <c r="C18" t="s">
        <v>244</v>
      </c>
    </row>
    <row r="19" spans="1:3" x14ac:dyDescent="0.25">
      <c r="A19" t="s">
        <v>245</v>
      </c>
      <c r="B19" s="2">
        <v>1800</v>
      </c>
      <c r="C19" t="s">
        <v>246</v>
      </c>
    </row>
    <row r="20" spans="1:3" x14ac:dyDescent="0.25">
      <c r="A20" t="s">
        <v>247</v>
      </c>
      <c r="B20" s="2">
        <v>9000</v>
      </c>
      <c r="C20" t="s">
        <v>248</v>
      </c>
    </row>
    <row r="21" spans="1:3" x14ac:dyDescent="0.25">
      <c r="A21" t="s">
        <v>249</v>
      </c>
      <c r="B21" s="2">
        <v>6000</v>
      </c>
      <c r="C21" t="s">
        <v>250</v>
      </c>
    </row>
    <row r="22" spans="1:3" x14ac:dyDescent="0.25">
      <c r="A22" t="s">
        <v>251</v>
      </c>
      <c r="B22" s="2">
        <v>3600</v>
      </c>
      <c r="C22" t="s">
        <v>252</v>
      </c>
    </row>
    <row r="23" spans="1:3" x14ac:dyDescent="0.25">
      <c r="A23" t="s">
        <v>253</v>
      </c>
      <c r="B23" s="2">
        <v>1200</v>
      </c>
      <c r="C23" t="s">
        <v>246</v>
      </c>
    </row>
    <row r="24" spans="1:3" x14ac:dyDescent="0.25">
      <c r="A24" t="s">
        <v>254</v>
      </c>
      <c r="B24" s="2">
        <v>3000</v>
      </c>
      <c r="C24" t="s">
        <v>255</v>
      </c>
    </row>
    <row r="25" spans="1:3" x14ac:dyDescent="0.25">
      <c r="A25" t="s">
        <v>256</v>
      </c>
      <c r="B25" s="2">
        <v>9000</v>
      </c>
      <c r="C25" t="s">
        <v>257</v>
      </c>
    </row>
    <row r="26" spans="1:3" x14ac:dyDescent="0.25">
      <c r="A26" t="s">
        <v>258</v>
      </c>
      <c r="B26" s="2">
        <v>2400</v>
      </c>
      <c r="C26" t="s">
        <v>259</v>
      </c>
    </row>
    <row r="27" spans="1:3" x14ac:dyDescent="0.25">
      <c r="A27" t="s">
        <v>260</v>
      </c>
      <c r="B27" s="2">
        <v>2400</v>
      </c>
      <c r="C27" t="s">
        <v>261</v>
      </c>
    </row>
    <row r="28" spans="1:3" x14ac:dyDescent="0.25">
      <c r="A28" t="s">
        <v>262</v>
      </c>
      <c r="B28" s="2">
        <v>1200</v>
      </c>
      <c r="C28" t="s">
        <v>263</v>
      </c>
    </row>
    <row r="29" spans="1:3" x14ac:dyDescent="0.25">
      <c r="A29" t="s">
        <v>264</v>
      </c>
      <c r="B29" s="2">
        <v>1200</v>
      </c>
      <c r="C29" t="s">
        <v>265</v>
      </c>
    </row>
    <row r="30" spans="1:3" x14ac:dyDescent="0.25">
      <c r="A30" t="s">
        <v>266</v>
      </c>
      <c r="B30" s="2">
        <v>1800</v>
      </c>
      <c r="C30" t="s">
        <v>267</v>
      </c>
    </row>
    <row r="31" spans="1:3" x14ac:dyDescent="0.25">
      <c r="A31" t="s">
        <v>268</v>
      </c>
      <c r="B31" s="2">
        <v>2400</v>
      </c>
      <c r="C31" t="s">
        <v>269</v>
      </c>
    </row>
    <row r="32" spans="1:3" x14ac:dyDescent="0.25">
      <c r="A32" t="s">
        <v>270</v>
      </c>
      <c r="B32" s="2">
        <v>1200</v>
      </c>
      <c r="C32" t="s">
        <v>271</v>
      </c>
    </row>
    <row r="33" spans="1:3" x14ac:dyDescent="0.25">
      <c r="A33" t="s">
        <v>272</v>
      </c>
      <c r="B33" s="2">
        <v>800</v>
      </c>
      <c r="C33" t="s">
        <v>273</v>
      </c>
    </row>
    <row r="34" spans="1:3" x14ac:dyDescent="0.25">
      <c r="A34" t="s">
        <v>274</v>
      </c>
      <c r="B34" s="2">
        <v>2500</v>
      </c>
      <c r="C34" t="s">
        <v>275</v>
      </c>
    </row>
    <row r="35" spans="1:3" x14ac:dyDescent="0.25">
      <c r="A35" s="10" t="s">
        <v>276</v>
      </c>
      <c r="B35" s="12">
        <v>4000</v>
      </c>
      <c r="C35" s="10" t="s">
        <v>277</v>
      </c>
    </row>
    <row r="36" spans="1:3" x14ac:dyDescent="0.25">
      <c r="A36" s="10" t="s">
        <v>278</v>
      </c>
      <c r="B36" s="12">
        <f>SUM(B13:B35)</f>
        <v>93700</v>
      </c>
      <c r="C36" s="10" t="s">
        <v>279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SelectedOperatingExpenseRatio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2026-05-12T18:10:58Z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