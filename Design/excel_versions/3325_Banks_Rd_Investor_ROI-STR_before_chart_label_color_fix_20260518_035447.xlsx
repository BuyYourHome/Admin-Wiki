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779378F1-A997-4A4F-A68D-4FC5CFBD5827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<sst xmlns="http://schemas.openxmlformats.org/spreadsheetml/2006/main" count="485" uniqueCount="392">
  <si>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</si>
  <si>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</si>
  <si>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</si>
  <si>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</si>
  <si>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</si>
  <si>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</si>
  <si>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</si>
  <si>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</si>
  <si>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</si>
  <si>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</si>
  <si>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</si>
  <si>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</si>
  <si>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</si>
  <si>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</si>
  <si>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</si>
  <si>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</si>
  <si>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</si>
  <si>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</si>
  <si>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</si>
  <si>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</si>
  <si>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</si>
  <si>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</si>
  <si>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</si>
  <si>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</si>
  <si>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</si>
  <si>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</si>
  <si>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</si>
  <si>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</si>
  <si>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</si>
  <si>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</si>
  <si>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</si>
  <si>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</si>
  <si>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</si>
  <si>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</si>
  <si>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</si>
  <si>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</si>
  <si>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</si>
  <si>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</si>
  <si>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</si>
  <si>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</si>
  <si>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</si>
  <si>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</si>
  <si>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</si>
  <si>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</si>
  <si>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</si>
  <si>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</si>
  <si>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</si>
  <si>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</si>
  <si>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</si>
  <si>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</si>
  <si>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</si>
  <si>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</si>
  <si>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</si>
  <si>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</si>
  <si>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</si>
  <si>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</si>
  <si>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</si>
  <si>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</si>
  <si>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</si>
  <si>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</si>
  <si>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</si>
  <si>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</si>
  <si>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</si>
  <si>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</si>
  <si>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</si>
  <si>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</si>
  <si>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</si>
  <si>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</si>
  <si>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</si>
  <si>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</si>
  <si>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</si>
  <si>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</si>
  <si>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</si>
  <si>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</si>
  <si>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</si>
  <si>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</si>
  <si>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</si>
  <si>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</si>
  <si>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</si>
  <si>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</si>
  <si>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</si>
  <si>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</si>
  <si>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</si>
  <si>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</si>
  <si>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</si>
  <si>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</si>
  <si>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</si>
  <si>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</si>
  <si>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</si>
  <si>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</si>
  <si>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</si>
  <si>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</si>
  <si>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</si>
  <si>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</si>
  <si>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</si>
  <si>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</si>
  <si>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</si>
  <si>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</si>
  <si>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</si>
  <si>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</si>
  <si>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</si>
  <si>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</si>
  <si>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</si>
  <si>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</si>
  <si>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</si>
  <si>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</si>
  <si>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</si>
  <si>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</si>
  <si>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</si>
  <si>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</si>
  <si>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</si>
  <si>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</si>
  <si>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</si>
  <si>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</si>
  <si>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</si>
  <si>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</si>
  <si>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</si>
  <si>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</si>
  <si>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</si>
  <si>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</si>
  <si>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</si>
  <si>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</si>
  <si>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</si>
  <si>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</si>
  <si>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</si>
  <si>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</si>
  <si>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</si>
  <si>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</si>
  <si>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</si>
  <si>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</si>
  <si>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</si>
  <si>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</si>
  <si>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</si>
  <si>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</si>
  <si>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</si>
  <si>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</si>
  <si>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</si>
  <si>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</si>
  <si>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</si>
  <si>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</si>
  <si>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</si>
  <si>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</si>
  <si>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</si>
  <si>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</si>
  <si>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</si>
  <si>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</si>
  <si>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</si>
  <si>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</si>
  <si>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</si>
  <si>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</si>
  <si>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</si>
  <si>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</si>
  <si>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</si>
  <si>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</si>
  <si>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</si>
  <si>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</si>
  <si>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</si>
  <si>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</si>
  <si>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</si>
  <si>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</si>
  <si>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</si>
  <si>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</si>
  <si>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</si>
  <si>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</si>
  <si>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</si>
  <si>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</si>
  <si>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</si>
  <si>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</si>
  <si>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</si>
  <si>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</si>
  <si>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</si>
  <si>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</si>
  <si>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</si>
  <si>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</si>
  <si>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</si>
  <si>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</si>
  <si>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</si>
  <si>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</si>
  <si>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</si>
  <si>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</si>
  <si>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</si>
  <si>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</si>
  <si>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</si>
  <si>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</si>
  <si>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</si>
  <si>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</si>
  <si>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</si>
  <si>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</si>
  <si>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</si>
  <si>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</si>
  <si>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</si>
  <si>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</si>
  <si>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</si>
  <si>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</si>
  <si>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</si>
  <si>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</si>
  <si>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</si>
  <si>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</si>
  <si>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</si>
  <si>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</si>
  <si>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</si>
  <si>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</si>
  <si>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</si>
  <si>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</si>
  <si>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</si>
  <si>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</si>
  <si>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</si>
  <si>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</si>
  <si>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</si>
  <si>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</si>
  <si>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</si>
  <si>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</si>
  <si>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</si>
  <si>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</si>
  <si>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</si>
  <si>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</si>
  <si>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</si>
  <si>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</si>
  <si>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</si>
  <si>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</si>
  <si>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</si>
  <si>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</si>
  <si>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</si>
  <si>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</si>
  <si>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</si>
  <si>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</si>
  <si>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</si>
  <si>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</si>
  <si>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</si>
  <si>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</si>
  <si>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</si>
  <si>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</si>
  <si>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</si>
  <si>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</si>
  <si>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</si>
  <si>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</si>
  <si>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</si>
  <si>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</si>
  <si>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</si>
  <si>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</si>
  <si>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</si>
  <si>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</si>
  <si>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</si>
  <si>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</si>
  <si>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</si>
  <si>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</si>
  <si>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</si>
  <si>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</si>
  <si>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</si>
  <si>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</si>
  <si>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</si>
  <si>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</si>
  <si>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</si>
  <si>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</si>
  <si>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</si>
  <si>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</si>
  <si>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</si>
  <si>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</si>
  <si>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</si>
  <si>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</si>
  <si>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</si>
  <si>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</si>
  <si>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</si>
  <si>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</si>
  <si>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</si>
  <si>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</si>
  <si>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</si>
  <si>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</si>
  <si>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</si>
  <si>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</si>
  <si>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</si>
  <si>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</si>
  <si>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</si>
  <si>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</si>
  <si>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</si>
  <si>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</si>
  <si>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</si>
  <si>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</si>
  <si>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</si>
  <si>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</si>
  <si>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</si>
  <si>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</si>
  <si>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</si>
  <si>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</si>
  <si>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</si>
  <si>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</si>
  <si>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</si>
  <si>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</si>
  <si>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</si>
  <si>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</si>
  <si>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</si>
  <si>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</si>
  <si>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</si>
  <si>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</si>
  <si>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</si>
  <si>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</si>
  <si>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</si>
  <si>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</si>
  <si>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</si>
  <si>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</si>
  <si>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</si>
  <si>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</si>
  <si>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</si>
  <si>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</si>
  <si>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</si>
  <si>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</si>
  <si>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</si>
  <si>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</si>
  <si>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</si>
  <si>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</si>
  <si>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</si>
  <si>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</si>
  <si>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</si>
  <si>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</si>
  <si>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</si>
  <si>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</si>
  <si>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</si>
  <si>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</si>
  <si>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</si>
  <si>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</si>
  <si>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</si>
  <si>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</si>
  <si>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</si>
  <si>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</si>
  <si>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</si>
  <si>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</si>
  <si>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</si>
  <si>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</si>
  <si>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</si>
  <si>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</si>
  <si>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</si>
  <si>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</si>
  <si>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</si>
  <si>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</si>
  <si>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</si>
  <si>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</si>
  <si>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</si>
  <si>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</si>
  <si>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</si>
  <si>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</si>
  <si>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</si>
  <si>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</si>
  <si>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</si>
  <si>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</si>
  <si>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</si>
  <si>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</si>
  <si>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</si>
  <si>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</si>
  <si>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</si>
  <si>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</si>
  <si>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</si>
  <si>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</si>
  <si>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</si>
  <si>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</si>
  <si>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</si>
  <si>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</si>
  <si>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</si>
  <si>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</si>
  <si>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</si>
  <si>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</si>
  <si>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</si>
  <si>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</si>
  <si>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</si>
  <si>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</si>
  <si>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</si>
  <si>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</si>
  <si>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</si>
  <si>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</si>
  <si>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</si>
  <si>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</si>
  <si>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</si>
  <si>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</si>
  <si>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</si>
  <si>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</si>
  <si>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</si>
  <si>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</si>
  <si>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</si>
  <si>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</si>
  <si>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</si>
  <si>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One Floor STR + Co-Living</t>
  </si>
  <si>
    <t>Participant Return Comparison by Rent Option</t>
  </si>
  <si>
    <t>Rent Option</t>
  </si>
  <si>
    <t>Chart Label</t>
  </si>
  <si>
    <t>Base Co-Living / Medium-Term - Class A</t>
  </si>
  <si>
    <t>Base Co-Living / Medium-Term - Class B</t>
  </si>
  <si>
    <t>Base Co-Living / Medium-Term - Sponsor</t>
  </si>
  <si>
    <t>One Floor STR + Co-Living - Class A</t>
  </si>
  <si>
    <t>One Floor STR + Co-Living - Class B</t>
  </si>
  <si>
    <t>One Floor STR + Co-Living - Sponsor</t>
  </si>
  <si>
    <t>Whole Building STR - Class A</t>
  </si>
  <si>
    <t>Whole Building STR - Class B</t>
  </si>
  <si>
    <t>Whole Building STR -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</si>
</sst>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5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2" fillId="3" borderId="2" xfId="0" applyNumberFormat="1" applyFont="1" applyFill="1" applyBorder="1" applyAlignment="1">
      <alignment horizontal="center" vertical="center" wrapText="1"/>
    </xf>
    <xf numFmtId="0" fontId="0" fillId="3" borderId="11" xfId="0" applyFill="1" applyBorder="1"/>
    <xf numFmtId="3" fontId="0" fillId="3" borderId="11" xfId="0" applyNumberFormat="1" applyFill="1" applyBorder="1"/>
    <xf numFmtId="164" fontId="0" fillId="3" borderId="11" xfId="0" applyNumberFormat="1" applyFill="1" applyBorder="1"/>
    <xf numFmtId="0" fontId="0" fillId="11" borderId="11" xfId="0" applyFill="1" applyBorder="1"/>
    <xf numFmtId="3" fontId="0" fillId="11" borderId="11" xfId="0" applyNumberFormat="1" applyFill="1" applyBorder="1"/>
    <xf numFmtId="164" fontId="0" fillId="11" borderId="11" xfId="0" applyNumberFormat="1" applyFill="1" applyBorder="1"/>
    <xf numFmtId="0" fontId="0" fillId="12" borderId="11" xfId="0" applyFill="1" applyBorder="1"/>
    <xf numFmtId="3" fontId="0" fillId="12" borderId="11" xfId="0" applyNumberFormat="1" applyFill="1" applyBorder="1"/>
    <xf numFmtId="164" fontId="0" fillId="12" borderId="11" xfId="0" applyNumberFormat="1" applyFill="1" applyBorder="1"/>
    <xf numFmtId="0" fontId="0" fillId="12" borderId="27" xfId="0" applyFill="1" applyBorder="1"/>
    <xf numFmtId="3" fontId="0" fillId="12" borderId="27" xfId="0" applyNumberFormat="1" applyFill="1" applyBorder="1"/>
    <xf numFmtId="164" fontId="0" fillId="12" borderId="27" xfId="0" applyNumberFormat="1" applyFill="1" applyBorder="1"/>
    <xf numFmtId="0" fontId="9" fillId="0" borderId="0" xfId="0" applyFont="1"/>
    <xf numFmtId="0" fontId="0" fillId="0" borderId="0" xfId="0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0" fontId="3" fillId="0" borderId="0" xfId="0" applyFont="1"/>
    <xf numFmtId="0" fontId="0" fillId="5" borderId="0" xfId="0" applyFill="1"/>
    <xf numFmtId="0" fontId="0" fillId="4" borderId="0" xfId="0" applyFill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0" fontId="0" fillId="11" borderId="24" xfId="0" applyFill="1" applyBorder="1"/>
    <xf numFmtId="0" fontId="0" fillId="11" borderId="0" xfId="0" applyFill="1"/>
    <xf numFmtId="0" fontId="0" fillId="11" borderId="22" xfId="0" applyFill="1" applyBorder="1"/>
    <xf numFmtId="0" fontId="0" fillId="12" borderId="24" xfId="0" applyFill="1" applyBorder="1"/>
    <xf numFmtId="0" fontId="0" fillId="12" borderId="0" xfId="0" applyFill="1"/>
    <xf numFmtId="0" fontId="0" fillId="12" borderId="22" xfId="0" applyFill="1" applyBorder="1"/>
    <xf numFmtId="0" fontId="0" fillId="3" borderId="24" xfId="0" applyFill="1" applyBorder="1"/>
    <xf numFmtId="0" fontId="0" fillId="3" borderId="0" xfId="0" applyFill="1"/>
    <xf numFmtId="0" fontId="0" fillId="3" borderId="22" xfId="0" applyFill="1" applyBorder="1"/>
    <xf numFmtId="0" fontId="0" fillId="12" borderId="8" xfId="0" applyFill="1" applyBorder="1"/>
    <xf numFmtId="0" fontId="0" fillId="12" borderId="10" xfId="0" applyFill="1" applyBorder="1"/>
    <xf numFmtId="0" fontId="0" fillId="12" borderId="26" xfId="0" applyFill="1" applyBorder="1"/>
    <xf numFmtId="0" fontId="0" fillId="3" borderId="21" xfId="0" applyFill="1" applyBorder="1"/>
    <xf numFmtId="0" fontId="0" fillId="11" borderId="21" xfId="0" applyFill="1" applyBorder="1"/>
    <xf numFmtId="0" fontId="0" fillId="12" borderId="21" xfId="0" applyFill="1" applyBorder="1"/>
    <xf numFmtId="0" fontId="0" fillId="12" borderId="28" xfId="0" applyFill="1" applyBorder="1"/>
    <xf numFmtId="3" fontId="0" fillId="3" borderId="21" xfId="0" applyNumberFormat="1" applyFill="1" applyBorder="1"/>
    <xf numFmtId="0" fontId="0" fillId="3" borderId="25" xfId="0" applyFill="1" applyBorder="1"/>
    <xf numFmtId="3" fontId="0" fillId="11" borderId="21" xfId="0" applyNumberFormat="1" applyFill="1" applyBorder="1"/>
    <xf numFmtId="0" fontId="0" fillId="11" borderId="25" xfId="0" applyFill="1" applyBorder="1"/>
    <xf numFmtId="3" fontId="0" fillId="12" borderId="21" xfId="0" applyNumberFormat="1" applyFill="1" applyBorder="1"/>
    <xf numFmtId="0" fontId="0" fillId="12" borderId="25" xfId="0" applyFill="1" applyBorder="1"/>
    <xf numFmtId="3" fontId="0" fillId="12" borderId="28" xfId="0" applyNumberFormat="1" applyFill="1" applyBorder="1"/>
    <xf numFmtId="0" fontId="0" fillId="12" borderId="9" xfId="0" applyFill="1" applyBorder="1"/>
    <xf numFmtId="3" fontId="4" fillId="0" borderId="0" xfId="0" applyNumberFormat="1" applyFont="1"/>
    <xf numFmtId="0" fontId="13" fillId="13" borderId="6" xfId="0" applyFont="1" applyFill="1" applyBorder="1"/>
    <xf numFmtId="0" fontId="14" fillId="13" borderId="23" xfId="0" applyFont="1" applyFill="1" applyBorder="1"/>
    <xf numFmtId="0" fontId="14" fillId="13" borderId="7" xfId="0" applyFont="1" applyFill="1" applyBorder="1"/>
    <xf numFmtId="0" fontId="14" fillId="13" borderId="24" xfId="0" applyFont="1" applyFill="1" applyBorder="1" applyAlignment="1">
      <alignment horizontal="center"/>
    </xf>
    <xf numFmtId="0" fontId="14" fillId="13" borderId="11" xfId="0" applyFont="1" applyFill="1" applyBorder="1" applyAlignment="1">
      <alignment horizontal="center"/>
    </xf>
    <xf numFmtId="0" fontId="14" fillId="13" borderId="21" xfId="0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3" borderId="22" xfId="0" applyFont="1" applyFill="1" applyBorder="1" applyAlignment="1">
      <alignment horizontal="center"/>
    </xf>
    <xf numFmtId="0" fontId="14" fillId="13" borderId="25" xfId="0" applyFont="1" applyFill="1" applyBorder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00"/>
            </a:pPr>
            <a:r>
              <a:rPr lang="en-US"/>
              <a:t>Return Metrics by Rent Option and Participant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Waterfall!$J$34:$J$42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400" b="1">
                <a:solidFill>
                  <a:srgbClr val="FFFFFF"/>
                </a:solidFill>
              </a:defRPr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190500</xdr:rowOff>
        </xdr:from>
        <xdr:to>
          <xdr:col>17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190500</xdr:rowOff>
        </xdr:from>
        <xdr:to>
          <xdr:col>17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152400</xdr:rowOff>
        </xdr:from>
        <xdr:to>
          <xdr:col>1</xdr:col>
          <xdr:colOff>0</xdr:colOff>
          <xdr:row>17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16</xdr:row>
          <xdr:rowOff>180975</xdr:rowOff>
        </xdr:from>
        <xdr:to>
          <xdr:col>0</xdr:col>
          <xdr:colOff>590550</xdr:colOff>
          <xdr:row>18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17</xdr:row>
          <xdr:rowOff>180975</xdr:rowOff>
        </xdr:from>
        <xdr:to>
          <xdr:col>0</xdr:col>
          <xdr:colOff>590550</xdr:colOff>
          <xdr:row>19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18</xdr:row>
          <xdr:rowOff>180975</xdr:rowOff>
        </xdr:from>
        <xdr:to>
          <xdr:col>0</xdr:col>
          <xdr:colOff>590550</xdr:colOff>
          <xdr:row>20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45</xdr:row>
      <xdr:rowOff>0</xdr:rowOff>
    </xdr:from>
    <xdr:to>
      <xdr:col>14</xdr:col>
      <xdr:colOff>0</xdr:colOff>
      <xdr:row>61</xdr:row>
      <xdr:rowOff>63500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92" t="s">
        <v>329</v>
      </c>
      <c r="B1" s="93"/>
      <c r="C1" s="93"/>
      <c r="D1" s="93"/>
    </row>
    <row r="2" spans="1:10" ht="15.75" thickBot="1" x14ac:dyDescent="0.3">
      <c r="B2" s="93" t="s">
        <v>333</v>
      </c>
      <c r="C2" s="93"/>
      <c r="D2" s="93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106" t="str">
        <f>IF(OR($H$4&lt;1,$H$4&gt;3),"",INDEX($B$7:$B$9,$H$4))</f>
        <v>Whole Building STR</v>
      </c>
      <c r="E4" s="107"/>
      <c r="F4" s="108"/>
      <c r="H4" s="74">
        <v>3</v>
      </c>
    </row>
    <row r="5" spans="1:10" ht="15.75" thickBot="1" x14ac:dyDescent="0.3"/>
    <row r="6" spans="1:10" ht="15.75" thickBot="1" x14ac:dyDescent="0.3">
      <c r="A6" s="12" t="s">
        <v>373</v>
      </c>
      <c r="B6" s="94" t="s">
        <v>374</v>
      </c>
      <c r="C6" s="95"/>
      <c r="D6" s="96"/>
      <c r="E6" s="94" t="s">
        <v>375</v>
      </c>
      <c r="F6" s="95"/>
      <c r="G6" s="95"/>
      <c r="H6" s="95"/>
      <c r="I6" s="95"/>
      <c r="J6" s="96"/>
    </row>
    <row r="7" spans="1:10" ht="15.75" thickBot="1" x14ac:dyDescent="0.3">
      <c r="B7" s="97" t="s">
        <v>332</v>
      </c>
      <c r="C7" s="98"/>
      <c r="D7" s="99"/>
      <c r="E7" s="97" t="s">
        <v>336</v>
      </c>
      <c r="F7" s="98"/>
      <c r="G7" s="98"/>
      <c r="H7" s="98"/>
      <c r="I7" s="98"/>
      <c r="J7" s="99"/>
    </row>
    <row r="8" spans="1:10" ht="15.75" thickBot="1" x14ac:dyDescent="0.3">
      <c r="B8" s="100" t="s">
        <v>334</v>
      </c>
      <c r="C8" s="101"/>
      <c r="D8" s="102"/>
      <c r="E8" s="100" t="s">
        <v>376</v>
      </c>
      <c r="F8" s="101"/>
      <c r="G8" s="101"/>
      <c r="H8" s="101"/>
      <c r="I8" s="101"/>
      <c r="J8" s="102"/>
    </row>
    <row r="9" spans="1:10" ht="15.75" thickBot="1" x14ac:dyDescent="0.3">
      <c r="B9" s="103" t="s">
        <v>335</v>
      </c>
      <c r="C9" s="104"/>
      <c r="D9" s="105"/>
      <c r="E9" s="103" t="s">
        <v>377</v>
      </c>
      <c r="F9" s="104"/>
      <c r="G9" s="104"/>
      <c r="H9" s="104"/>
      <c r="I9" s="104"/>
      <c r="J9" s="105"/>
    </row>
    <row r="12" spans="1:10" x14ac:dyDescent="0.25">
      <c r="A12" s="109" t="s">
        <v>337</v>
      </c>
      <c r="B12" s="109"/>
      <c r="C12" s="109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110" t="s">
        <v>342</v>
      </c>
      <c r="B14" s="110"/>
      <c r="C14" s="110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110" t="s">
        <v>344</v>
      </c>
      <c r="B15" s="110"/>
      <c r="C15" s="110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111" t="s">
        <v>346</v>
      </c>
      <c r="B16" s="111"/>
      <c r="C16" s="111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111" t="s">
        <v>348</v>
      </c>
      <c r="B17" s="111"/>
      <c r="C17" s="111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93" t="s">
        <v>349</v>
      </c>
      <c r="B18" s="93"/>
      <c r="C18" s="93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93" t="s">
        <v>351</v>
      </c>
      <c r="B19" s="93"/>
      <c r="C19" s="93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109" t="s">
        <v>353</v>
      </c>
      <c r="B23" s="109"/>
      <c r="C23" s="109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2:C12"/>
    <mergeCell ref="A23:C23"/>
    <mergeCell ref="A19:C19"/>
    <mergeCell ref="A18:C18"/>
    <mergeCell ref="A14:C14"/>
    <mergeCell ref="A15:C15"/>
    <mergeCell ref="A16:C16"/>
    <mergeCell ref="A17:C17"/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14" t="s">
        <v>281</v>
      </c>
      <c r="E7" s="114"/>
      <c r="F7" s="114"/>
      <c r="G7" s="114"/>
      <c r="H7" s="114"/>
      <c r="I7" s="114"/>
      <c r="J7" s="114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12" t="s">
        <v>53</v>
      </c>
      <c r="C48" s="11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15" t="s">
        <v>54</v>
      </c>
      <c r="B1" s="93"/>
      <c r="C1" s="9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"/>
  <sheetViews>
    <sheetView tabSelected="1" topLeftCell="A25" workbookViewId="0">
      <selection activeCell="Q35" sqref="Q35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31" width="20" style="6" customWidth="1"/>
    <col min="32" max="16384" width="9.140625" style="6"/>
  </cols>
  <sheetData>
    <row r="1" spans="1:31" ht="15.75" thickBot="1" x14ac:dyDescent="0.3">
      <c r="B1"/>
      <c r="C1"/>
      <c r="D1" s="13"/>
      <c r="E1" s="13"/>
      <c r="F1" s="13"/>
      <c r="G1" s="13"/>
      <c r="H1" s="13"/>
      <c r="I1" s="13"/>
      <c r="J1" s="13"/>
      <c r="R1" s="13"/>
      <c r="S1" s="13"/>
    </row>
    <row r="2" spans="1:31" ht="19.5" thickBot="1" x14ac:dyDescent="0.35">
      <c r="A2" s="120" t="s">
        <v>68</v>
      </c>
      <c r="B2" s="121"/>
      <c r="C2" s="119" t="s">
        <v>267</v>
      </c>
      <c r="D2" s="117"/>
      <c r="E2" s="117"/>
      <c r="F2" s="117"/>
      <c r="G2" s="117"/>
      <c r="H2" s="117"/>
      <c r="I2" s="117"/>
      <c r="J2" s="116" t="s">
        <v>89</v>
      </c>
      <c r="K2" s="117"/>
      <c r="L2" s="117"/>
      <c r="M2" s="117"/>
      <c r="N2" s="118" t="s">
        <v>90</v>
      </c>
      <c r="O2" s="117"/>
      <c r="P2" s="117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79">
        <v>3</v>
      </c>
      <c r="S3" s="79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thickBot="1" x14ac:dyDescent="0.3">
      <c r="A17" s="75" t="s">
        <v>373</v>
      </c>
      <c r="B17" s="94" t="s">
        <v>374</v>
      </c>
      <c r="C17" s="95"/>
      <c r="D17" s="96"/>
      <c r="E17" s="94" t="s">
        <v>375</v>
      </c>
      <c r="F17" s="95"/>
      <c r="G17" s="95"/>
      <c r="H17" s="95"/>
      <c r="I17" s="95"/>
      <c r="J17" s="95"/>
      <c r="K17" s="107"/>
      <c r="L17" s="108"/>
    </row>
    <row r="18" spans="1:19" s="14" customFormat="1" ht="15.75" thickBot="1" x14ac:dyDescent="0.3">
      <c r="A18" s="76"/>
      <c r="B18" s="97" t="s">
        <v>332</v>
      </c>
      <c r="C18" s="98"/>
      <c r="D18" s="99"/>
      <c r="E18" s="97" t="s">
        <v>336</v>
      </c>
      <c r="F18" s="98"/>
      <c r="G18" s="98"/>
      <c r="H18" s="98"/>
      <c r="I18" s="98"/>
      <c r="J18" s="98"/>
      <c r="K18" s="107"/>
      <c r="L18" s="108"/>
      <c r="M18" s="6"/>
      <c r="N18" s="6"/>
      <c r="O18" s="6"/>
      <c r="P18" s="6"/>
      <c r="Q18" s="6"/>
      <c r="R18" s="6"/>
    </row>
    <row r="19" spans="1:19" ht="15.75" thickBot="1" x14ac:dyDescent="0.3">
      <c r="A19" s="77"/>
      <c r="B19" s="125" t="s">
        <v>334</v>
      </c>
      <c r="C19" s="126"/>
      <c r="D19" s="127"/>
      <c r="E19" s="125" t="s">
        <v>376</v>
      </c>
      <c r="F19" s="126"/>
      <c r="G19" s="126"/>
      <c r="H19" s="126"/>
      <c r="I19" s="126"/>
      <c r="J19" s="126"/>
      <c r="K19" s="107"/>
      <c r="L19" s="108"/>
    </row>
    <row r="20" spans="1:19" ht="15.75" thickBot="1" x14ac:dyDescent="0.3">
      <c r="A20" s="78"/>
      <c r="B20" s="122" t="s">
        <v>335</v>
      </c>
      <c r="C20" s="123"/>
      <c r="D20" s="124"/>
      <c r="E20" s="122" t="s">
        <v>377</v>
      </c>
      <c r="F20" s="123"/>
      <c r="G20" s="123"/>
      <c r="H20" s="123"/>
      <c r="I20" s="123"/>
      <c r="J20" s="123"/>
      <c r="K20" s="107"/>
      <c r="L20" s="108"/>
    </row>
    <row r="22" spans="1:19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</row>
    <row r="24" spans="1:19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</row>
    <row r="25" spans="1:19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</row>
    <row r="26" spans="1:19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</row>
    <row r="27" spans="1:19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</row>
    <row r="31" spans="1:19" ht="15.75" thickBot="1" x14ac:dyDescent="0.3"/>
    <row r="32" spans="1:19" ht="15.75" x14ac:dyDescent="0.25">
      <c r="A32" s="153" t="s">
        <v>380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5"/>
    </row>
    <row r="33" spans="1:28" x14ac:dyDescent="0.25">
      <c r="A33" s="156" t="s">
        <v>381</v>
      </c>
      <c r="B33" s="159"/>
      <c r="C33" s="159"/>
      <c r="D33" s="157" t="s">
        <v>70</v>
      </c>
      <c r="E33" s="158" t="s">
        <v>382</v>
      </c>
      <c r="F33" s="159"/>
      <c r="G33" s="159"/>
      <c r="H33" s="159"/>
      <c r="I33" s="160"/>
      <c r="J33" s="157" t="s">
        <v>298</v>
      </c>
      <c r="K33" s="157" t="s">
        <v>75</v>
      </c>
      <c r="L33" s="157" t="s">
        <v>378</v>
      </c>
      <c r="M33" s="158" t="s">
        <v>72</v>
      </c>
      <c r="N33" s="161"/>
    </row>
    <row r="34" spans="1:28" x14ac:dyDescent="0.25">
      <c r="A34" s="134" t="s">
        <v>332</v>
      </c>
      <c r="B34" s="135"/>
      <c r="C34" s="136"/>
      <c r="D34" s="80" t="s">
        <v>88</v>
      </c>
      <c r="E34" s="140" t="s">
        <v>383</v>
      </c>
      <c r="F34" s="135"/>
      <c r="G34" s="135"/>
      <c r="H34" s="135"/>
      <c r="I34" s="135"/>
      <c r="J34" s="81">
        <v>219799.48570431559</v>
      </c>
      <c r="K34" s="82">
        <v>0.73266495234771867</v>
      </c>
      <c r="L34" s="82">
        <v>0.1634264838474333</v>
      </c>
      <c r="M34" s="144">
        <v>519799.48570431559</v>
      </c>
      <c r="N34" s="145"/>
    </row>
    <row r="35" spans="1:28" x14ac:dyDescent="0.25">
      <c r="A35" s="134" t="s">
        <v>332</v>
      </c>
      <c r="B35" s="135"/>
      <c r="C35" s="136"/>
      <c r="D35" s="80" t="s">
        <v>89</v>
      </c>
      <c r="E35" s="140" t="s">
        <v>384</v>
      </c>
      <c r="F35" s="135"/>
      <c r="G35" s="135"/>
      <c r="H35" s="135"/>
      <c r="I35" s="135"/>
      <c r="J35" s="81">
        <v>234783.08283288495</v>
      </c>
      <c r="K35" s="82">
        <v>0.42882754855321453</v>
      </c>
      <c r="L35" s="82">
        <v>8.9826902125470953E-2</v>
      </c>
      <c r="M35" s="144">
        <v>782283.08283288497</v>
      </c>
      <c r="N35" s="145"/>
    </row>
    <row r="36" spans="1:28" x14ac:dyDescent="0.25">
      <c r="A36" s="134" t="s">
        <v>332</v>
      </c>
      <c r="B36" s="135"/>
      <c r="C36" s="136"/>
      <c r="D36" s="80" t="s">
        <v>90</v>
      </c>
      <c r="E36" s="140" t="s">
        <v>385</v>
      </c>
      <c r="F36" s="135"/>
      <c r="G36" s="135"/>
      <c r="H36" s="135"/>
      <c r="I36" s="135"/>
      <c r="J36" s="81">
        <v>327148.34739884926</v>
      </c>
      <c r="K36" s="82">
        <v>2.4005073809561668</v>
      </c>
      <c r="L36" s="82">
        <v>0.58541819876459078</v>
      </c>
      <c r="M36" s="144">
        <v>463431.34739884926</v>
      </c>
      <c r="N36" s="145"/>
    </row>
    <row r="37" spans="1:28" x14ac:dyDescent="0.25">
      <c r="A37" s="128" t="s">
        <v>379</v>
      </c>
      <c r="B37" s="129"/>
      <c r="C37" s="130"/>
      <c r="D37" s="83" t="s">
        <v>88</v>
      </c>
      <c r="E37" s="141" t="s">
        <v>386</v>
      </c>
      <c r="F37" s="129"/>
      <c r="G37" s="129"/>
      <c r="H37" s="129"/>
      <c r="I37" s="129"/>
      <c r="J37" s="84">
        <v>264666.01012491627</v>
      </c>
      <c r="K37" s="85">
        <v>0.88222003374972091</v>
      </c>
      <c r="L37" s="85">
        <v>0.18498025525507211</v>
      </c>
      <c r="M37" s="146">
        <v>564666.01012491621</v>
      </c>
      <c r="N37" s="147"/>
      <c r="V37"/>
      <c r="W37"/>
      <c r="X37"/>
      <c r="Y37"/>
      <c r="Z37"/>
      <c r="AA37"/>
      <c r="AB37"/>
    </row>
    <row r="38" spans="1:28" x14ac:dyDescent="0.25">
      <c r="A38" s="128" t="s">
        <v>379</v>
      </c>
      <c r="B38" s="129"/>
      <c r="C38" s="130"/>
      <c r="D38" s="83" t="s">
        <v>89</v>
      </c>
      <c r="E38" s="141" t="s">
        <v>387</v>
      </c>
      <c r="F38" s="129"/>
      <c r="G38" s="129"/>
      <c r="H38" s="129"/>
      <c r="I38" s="129"/>
      <c r="J38" s="84">
        <v>316186.60410725744</v>
      </c>
      <c r="K38" s="85">
        <v>0.57750977919133784</v>
      </c>
      <c r="L38" s="85">
        <v>0.11563386411139498</v>
      </c>
      <c r="M38" s="146">
        <v>863686.60410725744</v>
      </c>
      <c r="N38" s="147"/>
      <c r="V38"/>
      <c r="W38"/>
      <c r="X38"/>
      <c r="Y38"/>
      <c r="Z38"/>
      <c r="AA38"/>
      <c r="AB38"/>
    </row>
    <row r="39" spans="1:28" x14ac:dyDescent="0.25">
      <c r="A39" s="128" t="s">
        <v>379</v>
      </c>
      <c r="B39" s="129"/>
      <c r="C39" s="130"/>
      <c r="D39" s="83" t="s">
        <v>90</v>
      </c>
      <c r="E39" s="141" t="s">
        <v>388</v>
      </c>
      <c r="F39" s="129"/>
      <c r="G39" s="129"/>
      <c r="H39" s="129"/>
      <c r="I39" s="129"/>
      <c r="J39" s="84">
        <v>453156.53786465875</v>
      </c>
      <c r="K39" s="85">
        <v>3.3251141952015932</v>
      </c>
      <c r="L39" s="85">
        <v>0.68267085359075441</v>
      </c>
      <c r="M39" s="146">
        <v>589439.53786465875</v>
      </c>
      <c r="N39" s="147"/>
      <c r="V39"/>
      <c r="W39"/>
      <c r="X39"/>
      <c r="Y39"/>
      <c r="Z39"/>
      <c r="AA39"/>
      <c r="AB39"/>
    </row>
    <row r="40" spans="1:28" x14ac:dyDescent="0.25">
      <c r="A40" s="131" t="s">
        <v>335</v>
      </c>
      <c r="B40" s="132"/>
      <c r="C40" s="133"/>
      <c r="D40" s="86" t="s">
        <v>88</v>
      </c>
      <c r="E40" s="142" t="s">
        <v>389</v>
      </c>
      <c r="F40" s="132"/>
      <c r="G40" s="132"/>
      <c r="H40" s="132"/>
      <c r="I40" s="132"/>
      <c r="J40" s="87">
        <v>278057.43248614768</v>
      </c>
      <c r="K40" s="88">
        <v>0.92685810828715898</v>
      </c>
      <c r="L40" s="88">
        <v>0.18919673669698978</v>
      </c>
      <c r="M40" s="148">
        <v>578057.43248614762</v>
      </c>
      <c r="N40" s="149"/>
      <c r="V40"/>
      <c r="W40"/>
      <c r="X40"/>
      <c r="Y40"/>
      <c r="Z40"/>
      <c r="AA40"/>
      <c r="AB40"/>
    </row>
    <row r="41" spans="1:28" x14ac:dyDescent="0.25">
      <c r="A41" s="131" t="s">
        <v>335</v>
      </c>
      <c r="B41" s="132"/>
      <c r="C41" s="133"/>
      <c r="D41" s="86" t="s">
        <v>89</v>
      </c>
      <c r="E41" s="142" t="s">
        <v>390</v>
      </c>
      <c r="F41" s="132"/>
      <c r="G41" s="132"/>
      <c r="H41" s="132"/>
      <c r="I41" s="132"/>
      <c r="J41" s="87">
        <v>338354.90441211156</v>
      </c>
      <c r="K41" s="88">
        <v>0.61799982541024945</v>
      </c>
      <c r="L41" s="88">
        <v>0.12146973485163892</v>
      </c>
      <c r="M41" s="148">
        <v>885854.9044121115</v>
      </c>
      <c r="N41" s="149"/>
      <c r="V41"/>
      <c r="W41"/>
      <c r="X41"/>
      <c r="Y41"/>
      <c r="Z41"/>
      <c r="AA41"/>
      <c r="AB41"/>
    </row>
    <row r="42" spans="1:28" ht="15.75" thickBot="1" x14ac:dyDescent="0.3">
      <c r="A42" s="137" t="s">
        <v>335</v>
      </c>
      <c r="B42" s="138"/>
      <c r="C42" s="139"/>
      <c r="D42" s="89" t="s">
        <v>90</v>
      </c>
      <c r="E42" s="143" t="s">
        <v>391</v>
      </c>
      <c r="F42" s="138"/>
      <c r="G42" s="138"/>
      <c r="H42" s="138"/>
      <c r="I42" s="138"/>
      <c r="J42" s="90">
        <v>487471.85203518625</v>
      </c>
      <c r="K42" s="91">
        <v>3.5769087269519035</v>
      </c>
      <c r="L42" s="91">
        <v>0.7056305810885255</v>
      </c>
      <c r="M42" s="150">
        <v>623754.85203518625</v>
      </c>
      <c r="N42" s="151"/>
      <c r="V42"/>
      <c r="W42"/>
      <c r="X42"/>
      <c r="Y42"/>
      <c r="Z42"/>
      <c r="AA42"/>
      <c r="AB42"/>
    </row>
    <row r="43" spans="1:28" x14ac:dyDescent="0.25">
      <c r="V43"/>
      <c r="W43"/>
      <c r="X43"/>
      <c r="Y43"/>
      <c r="Z43"/>
      <c r="AA43"/>
      <c r="AB43"/>
    </row>
  </sheetData>
  <mergeCells count="43">
    <mergeCell ref="M38:N38"/>
    <mergeCell ref="M39:N39"/>
    <mergeCell ref="M40:N40"/>
    <mergeCell ref="M41:N41"/>
    <mergeCell ref="M42:N42"/>
    <mergeCell ref="M33:N33"/>
    <mergeCell ref="M34:N34"/>
    <mergeCell ref="M35:N35"/>
    <mergeCell ref="M36:N36"/>
    <mergeCell ref="M37:N37"/>
    <mergeCell ref="A42:C42"/>
    <mergeCell ref="E34:I34"/>
    <mergeCell ref="E35:I35"/>
    <mergeCell ref="E36:I36"/>
    <mergeCell ref="E37:I37"/>
    <mergeCell ref="E38:I38"/>
    <mergeCell ref="E39:I39"/>
    <mergeCell ref="E40:I40"/>
    <mergeCell ref="E41:I41"/>
    <mergeCell ref="E42:I42"/>
    <mergeCell ref="A41:C41"/>
    <mergeCell ref="E33:I33"/>
    <mergeCell ref="A37:C37"/>
    <mergeCell ref="A38:C38"/>
    <mergeCell ref="A39:C39"/>
    <mergeCell ref="A40:C40"/>
    <mergeCell ref="A33:C33"/>
    <mergeCell ref="A34:C34"/>
    <mergeCell ref="A35:C35"/>
    <mergeCell ref="A36:C36"/>
    <mergeCell ref="A32:N32"/>
    <mergeCell ref="B20:D20"/>
    <mergeCell ref="B18:D18"/>
    <mergeCell ref="B19:D19"/>
    <mergeCell ref="E19:L19"/>
    <mergeCell ref="E18:L18"/>
    <mergeCell ref="E20:L20"/>
    <mergeCell ref="J2:M2"/>
    <mergeCell ref="N2:P2"/>
    <mergeCell ref="C2:I2"/>
    <mergeCell ref="B17:D17"/>
    <mergeCell ref="E17:L17"/>
    <mergeCell ref="A2:B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190500</xdr:rowOff>
                  </from>
                  <to>
                    <xdr:col>17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190500</xdr:rowOff>
                  </from>
                  <to>
                    <xdr:col>17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15</xdr:row>
                    <xdr:rowOff>152400</xdr:rowOff>
                  </from>
                  <to>
                    <xdr:col>1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16</xdr:row>
                    <xdr:rowOff>180975</xdr:rowOff>
                  </from>
                  <to>
                    <xdr:col>0</xdr:col>
                    <xdr:colOff>590550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17</xdr:row>
                    <xdr:rowOff>180975</xdr:rowOff>
                  </from>
                  <to>
                    <xdr:col>0</xdr:col>
                    <xdr:colOff>590550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18</xdr:row>
                    <xdr:rowOff>180975</xdr:rowOff>
                  </from>
                  <to>
                    <xdr:col>0</xdr:col>
                    <xdr:colOff>590550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15" t="s">
        <v>270</v>
      </c>
      <c r="B1" s="113"/>
      <c r="C1" s="113"/>
      <c r="D1" s="1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12" t="s">
        <v>266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52" t="s">
        <v>104</v>
      </c>
      <c r="C2" s="113"/>
      <c r="D2" s="113"/>
    </row>
    <row r="3" spans="1:10" x14ac:dyDescent="0.25">
      <c r="A3" s="13" t="s">
        <v>105</v>
      </c>
      <c r="B3" s="152" t="s">
        <v>106</v>
      </c>
      <c r="C3" s="113"/>
      <c r="D3" s="113"/>
      <c r="E3" s="113"/>
      <c r="F3" s="113"/>
      <c r="G3" s="113"/>
      <c r="H3" s="113"/>
      <c r="I3" s="113"/>
    </row>
    <row r="4" spans="1:10" x14ac:dyDescent="0.25">
      <c r="A4" s="13"/>
      <c r="B4" s="13"/>
      <c r="C4" s="152"/>
      <c r="D4" s="93"/>
      <c r="E4" s="93"/>
      <c r="F4" s="93"/>
      <c r="H4" s="13"/>
    </row>
    <row r="5" spans="1:10" ht="15.75" thickBot="1" x14ac:dyDescent="0.3">
      <c r="A5" s="13"/>
      <c r="B5" s="13"/>
      <c r="C5" s="152"/>
      <c r="D5" s="93"/>
      <c r="E5" s="93"/>
      <c r="F5" s="93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13" t="s">
        <v>160</v>
      </c>
      <c r="C62" s="113"/>
      <c r="D62" s="113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13" t="s">
        <v>164</v>
      </c>
      <c r="D66" s="113"/>
      <c r="E66" s="113"/>
      <c r="F66" s="113"/>
      <c r="G66" s="113"/>
    </row>
    <row r="67" spans="1:7" x14ac:dyDescent="0.25">
      <c r="A67" s="6" t="s">
        <v>165</v>
      </c>
      <c r="B67" s="6" t="s">
        <v>163</v>
      </c>
      <c r="C67" s="113" t="s">
        <v>164</v>
      </c>
      <c r="D67" s="113"/>
      <c r="E67" s="113"/>
      <c r="F67" s="113"/>
      <c r="G67" s="113"/>
    </row>
    <row r="68" spans="1:7" x14ac:dyDescent="0.25">
      <c r="A68" s="6" t="s">
        <v>166</v>
      </c>
      <c r="B68" s="6" t="s">
        <v>163</v>
      </c>
      <c r="C68" s="113" t="s">
        <v>164</v>
      </c>
      <c r="D68" s="113"/>
      <c r="E68" s="113"/>
      <c r="F68" s="113"/>
      <c r="G68" s="113"/>
    </row>
    <row r="69" spans="1:7" x14ac:dyDescent="0.25">
      <c r="A69" s="6" t="s">
        <v>167</v>
      </c>
      <c r="B69" s="6" t="s">
        <v>163</v>
      </c>
      <c r="C69" s="113" t="s">
        <v>164</v>
      </c>
      <c r="D69" s="113"/>
      <c r="E69" s="113"/>
      <c r="F69" s="113"/>
      <c r="G69" s="113"/>
    </row>
    <row r="70" spans="1:7" x14ac:dyDescent="0.25">
      <c r="A70" s="6" t="s">
        <v>168</v>
      </c>
      <c r="B70" s="6" t="s">
        <v>169</v>
      </c>
      <c r="C70" s="113" t="s">
        <v>170</v>
      </c>
      <c r="D70" s="113"/>
      <c r="E70" s="113"/>
      <c r="F70" s="113"/>
      <c r="G70" s="113"/>
    </row>
    <row r="71" spans="1:7" x14ac:dyDescent="0.25">
      <c r="A71" s="6" t="s">
        <v>171</v>
      </c>
      <c r="B71" s="6" t="s">
        <v>163</v>
      </c>
      <c r="C71" s="113" t="s">
        <v>172</v>
      </c>
      <c r="D71" s="113"/>
      <c r="E71" s="113"/>
      <c r="F71" s="113"/>
      <c r="G71" s="113"/>
    </row>
    <row r="72" spans="1:7" x14ac:dyDescent="0.25">
      <c r="A72" s="6" t="s">
        <v>173</v>
      </c>
      <c r="B72" s="6" t="s">
        <v>163</v>
      </c>
      <c r="C72" s="113" t="s">
        <v>174</v>
      </c>
      <c r="D72" s="113"/>
      <c r="E72" s="113"/>
      <c r="F72" s="113"/>
      <c r="G72" s="113"/>
    </row>
    <row r="73" spans="1:7" x14ac:dyDescent="0.25">
      <c r="A73" s="6" t="s">
        <v>175</v>
      </c>
      <c r="B73" s="6" t="s">
        <v>163</v>
      </c>
      <c r="C73" s="113" t="s">
        <v>176</v>
      </c>
      <c r="D73" s="113"/>
      <c r="E73" s="113"/>
      <c r="F73" s="113"/>
      <c r="G73" s="113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13" t="s">
        <v>179</v>
      </c>
      <c r="D76" s="113"/>
      <c r="E76" s="113"/>
      <c r="F76" s="113"/>
      <c r="G76" s="113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13" t="s">
        <v>185</v>
      </c>
      <c r="D81" s="113"/>
      <c r="E81" s="113"/>
      <c r="F81" s="113"/>
      <c r="G81" s="11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2026-05-18T07:53:38Z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