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9D81D891-508A-4C97-B465-8D263DB34475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7" i="3"/>
  <c r="R27" i="3"/>
  <c r="Q27" i="3"/>
  <c r="D27" i="3"/>
  <c r="C27" i="3"/>
  <c r="C26" i="3"/>
  <c r="C24" i="3"/>
  <c r="B27" i="3"/>
  <c r="B26" i="3"/>
  <c r="B24" i="3"/>
  <c r="D24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6" i="3"/>
  <c r="N25" i="3"/>
  <c r="N24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7" i="3" s="1"/>
  <c r="D12" i="2"/>
  <c r="L27" i="3" s="1"/>
  <c r="P4" i="2"/>
  <c r="D11" i="2"/>
  <c r="K27" i="3" s="1"/>
  <c r="G4" i="2"/>
  <c r="O4" i="2"/>
  <c r="N5" i="3"/>
  <c r="D10" i="2"/>
  <c r="J27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7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6" i="3" s="1"/>
  <c r="M4" i="3"/>
  <c r="I4" i="3"/>
  <c r="E4" i="3"/>
  <c r="F5" i="3"/>
  <c r="C5" i="3" s="1"/>
  <c r="D14" i="2"/>
  <c r="N27" i="3" s="1"/>
  <c r="G10" i="6"/>
  <c r="B29" i="6" s="1"/>
  <c r="C5" i="2" l="1"/>
  <c r="D5" i="2" s="1"/>
  <c r="E27" i="3" s="1"/>
  <c r="L29" i="8"/>
  <c r="C9" i="2" s="1"/>
  <c r="D9" i="2" s="1"/>
  <c r="I27" i="3" s="1"/>
  <c r="L27" i="8"/>
  <c r="C7" i="2" s="1"/>
  <c r="D7" i="2" s="1"/>
  <c r="G27" i="3" s="1"/>
  <c r="L28" i="8"/>
  <c r="C8" i="2" s="1"/>
  <c r="D8" i="2" s="1"/>
  <c r="H27" i="3" s="1"/>
  <c r="M4" i="2"/>
  <c r="B10" i="7"/>
  <c r="B15" i="7" s="1"/>
  <c r="B41" i="1"/>
  <c r="J4" i="3" s="1"/>
  <c r="J5" i="3" s="1"/>
  <c r="B15" i="6"/>
  <c r="B14" i="6"/>
  <c r="O25" i="8" l="1"/>
  <c r="O27" i="3"/>
  <c r="P27" i="3" s="1"/>
  <c r="B25" i="3"/>
  <c r="D25" i="3" s="1"/>
  <c r="C25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6" i="3" s="1"/>
  <c r="H5" i="3"/>
  <c r="I5" i="3" s="1"/>
  <c r="E24" i="3" s="1"/>
  <c r="L5" i="3"/>
  <c r="M5" i="3" l="1"/>
  <c r="E25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24" i="3" s="1"/>
  <c r="O6" i="3"/>
  <c r="P6" i="3" s="1"/>
  <c r="J6" i="4" s="1"/>
  <c r="L6" i="3"/>
  <c r="M6" i="3" s="1"/>
  <c r="F25" i="3" s="1"/>
  <c r="J5" i="4" l="1"/>
  <c r="J4" i="4"/>
  <c r="M6" i="2"/>
  <c r="N6" i="2" s="1"/>
  <c r="J7" i="2" s="1"/>
  <c r="K7" i="2" s="1"/>
  <c r="F26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5" i="3" s="1"/>
  <c r="O7" i="3"/>
  <c r="P7" i="3" s="1"/>
  <c r="G26" i="3" s="1"/>
  <c r="M7" i="2" l="1"/>
  <c r="N7" i="2" s="1"/>
  <c r="J8" i="2" s="1"/>
  <c r="K8" i="2" s="1"/>
  <c r="G24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5" i="3" s="1"/>
  <c r="J9" i="3"/>
  <c r="O8" i="3" l="1"/>
  <c r="P8" i="3" s="1"/>
  <c r="H26" i="3" s="1"/>
  <c r="E8" i="3"/>
  <c r="H8" i="3"/>
  <c r="I8" i="3" s="1"/>
  <c r="L5" i="4"/>
  <c r="L6" i="4" l="1"/>
  <c r="L4" i="4"/>
  <c r="H24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6" i="3" s="1"/>
  <c r="H9" i="3"/>
  <c r="I9" i="3" s="1"/>
  <c r="I24" i="3" s="1"/>
  <c r="L9" i="3"/>
  <c r="M9" i="3" s="1"/>
  <c r="I25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24" i="3"/>
  <c r="N4" i="4"/>
  <c r="J25" i="3"/>
  <c r="N5" i="4"/>
  <c r="J26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6" i="3" l="1"/>
  <c r="O6" i="4"/>
  <c r="E11" i="3"/>
  <c r="H11" i="3"/>
  <c r="I11" i="3" s="1"/>
  <c r="L11" i="3"/>
  <c r="M11" i="3" s="1"/>
  <c r="R5" i="4"/>
  <c r="N14" i="2"/>
  <c r="R4" i="4"/>
  <c r="M11" i="2" l="1"/>
  <c r="N11" i="2" s="1"/>
  <c r="K24" i="3"/>
  <c r="O4" i="4"/>
  <c r="K25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6" i="3" s="1"/>
  <c r="E12" i="3"/>
  <c r="H12" i="3"/>
  <c r="I12" i="3" s="1"/>
  <c r="L12" i="3"/>
  <c r="M12" i="3" s="1"/>
  <c r="J13" i="3"/>
  <c r="P6" i="4" l="1"/>
  <c r="L25" i="3"/>
  <c r="P5" i="4"/>
  <c r="L24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24" i="3"/>
  <c r="Q4" i="4"/>
  <c r="G4" i="4" s="1"/>
  <c r="C4" i="4"/>
  <c r="M25" i="3"/>
  <c r="Q5" i="4"/>
  <c r="G5" i="4" s="1"/>
  <c r="C5" i="4"/>
  <c r="M26" i="3"/>
  <c r="Q6" i="4"/>
  <c r="G6" i="4" s="1"/>
  <c r="C6" i="4"/>
  <c r="E4" i="4" l="1"/>
  <c r="D4" i="4"/>
  <c r="F4" i="4" s="1"/>
  <c r="O26" i="3"/>
  <c r="S26" i="3"/>
  <c r="D5" i="4"/>
  <c r="F5" i="4" s="1"/>
  <c r="E5" i="4"/>
  <c r="O25" i="3"/>
  <c r="S25" i="3"/>
  <c r="E6" i="4"/>
  <c r="D6" i="4"/>
  <c r="F6" i="4" s="1"/>
  <c r="S24" i="3"/>
  <c r="O24" i="3"/>
  <c r="P24" i="3" l="1"/>
  <c r="Q24" i="3" s="1"/>
  <c r="R24" i="3"/>
  <c r="R25" i="3"/>
  <c r="P25" i="3"/>
  <c r="Q25" i="3" s="1"/>
  <c r="R26" i="3"/>
  <c r="P26" i="3"/>
  <c r="Q26" i="3" s="1"/>
</calcChain>
</file>

<file path=xl/sharedStrings.xml><?xml version="1.0" encoding="utf-8"?>
<sst xmlns="http://schemas.openxmlformats.org/spreadsheetml/2006/main" count="485" uniqueCount="392">
  <si>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</si>
  <si>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</si>
  <si>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</si>
  <si>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</si>
  <si>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</si>
  <si>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</si>
  <si>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</si>
  <si>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</si>
  <si>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</si>
  <si>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</si>
  <si>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</si>
  <si>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</si>
  <si>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</si>
  <si>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</si>
  <si>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</si>
  <si>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</si>
  <si>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</si>
  <si>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</si>
  <si>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</si>
  <si>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</si>
  <si>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</si>
  <si>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</si>
  <si>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</si>
  <si>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</si>
  <si>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</si>
  <si>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</si>
  <si>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</si>
  <si>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</si>
  <si>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</si>
  <si>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</si>
  <si>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</si>
  <si>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</si>
  <si>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</si>
  <si>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</si>
  <si>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</si>
  <si>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</si>
  <si>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</si>
  <si>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</si>
  <si>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</si>
  <si>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</si>
  <si>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</si>
  <si>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</si>
  <si>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</si>
  <si>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</si>
  <si>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</si>
  <si>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</si>
  <si>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</si>
  <si>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</si>
  <si>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</si>
  <si>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</si>
  <si>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</si>
  <si>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</si>
  <si>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</si>
  <si>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</si>
  <si>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</si>
  <si>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</si>
  <si>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</si>
  <si>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</si>
  <si>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</si>
  <si>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</si>
  <si>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</si>
  <si>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</si>
  <si>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</si>
  <si>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</si>
  <si>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</si>
  <si>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</si>
  <si>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</si>
  <si>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</si>
  <si>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</si>
  <si>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</si>
  <si>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</si>
  <si>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</si>
  <si>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</si>
  <si>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</si>
  <si>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</si>
  <si>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</si>
  <si>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</si>
  <si>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</si>
  <si>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</si>
  <si>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</si>
  <si>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</si>
  <si>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</si>
  <si>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</si>
  <si>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</si>
  <si>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</si>
  <si>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</si>
  <si>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</si>
  <si>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</si>
  <si>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</si>
  <si>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</si>
  <si>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</si>
  <si>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</si>
  <si>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</si>
  <si>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</si>
  <si>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</si>
  <si>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</si>
  <si>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</si>
  <si>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</si>
  <si>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</si>
  <si>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</si>
  <si>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</si>
  <si>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</si>
  <si>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</si>
  <si>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</si>
  <si>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</si>
  <si>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</si>
  <si>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</si>
  <si>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</si>
  <si>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</si>
  <si>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</si>
  <si>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</si>
  <si>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</si>
  <si>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</si>
  <si>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</si>
  <si>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</si>
  <si>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</si>
  <si>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</si>
  <si>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</si>
  <si>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</si>
  <si>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</si>
  <si>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</si>
  <si>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</si>
  <si>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</si>
  <si>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</si>
  <si>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</si>
  <si>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</si>
  <si>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</si>
  <si>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</si>
  <si>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</si>
  <si>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</si>
  <si>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</si>
  <si>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</si>
  <si>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</si>
  <si>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</si>
  <si>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</si>
  <si>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</si>
  <si>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</si>
  <si>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</si>
  <si>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</si>
  <si>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</si>
  <si>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</si>
  <si>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</si>
  <si>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</si>
  <si>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</si>
  <si>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</si>
  <si>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</si>
  <si>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</si>
  <si>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</si>
  <si>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</si>
  <si>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</si>
  <si>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</si>
  <si>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</si>
  <si>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</si>
  <si>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</si>
  <si>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</si>
  <si>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</si>
  <si>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</si>
  <si>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</si>
  <si>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</si>
  <si>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</si>
  <si>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</si>
  <si>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</si>
  <si>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</si>
  <si>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</si>
  <si>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</si>
  <si>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</si>
  <si>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</si>
  <si>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</si>
  <si>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</si>
  <si>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</si>
  <si>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</si>
  <si>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</si>
  <si>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</si>
  <si>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</si>
  <si>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</si>
  <si>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</si>
  <si>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</si>
  <si>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</si>
  <si>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</si>
  <si>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</si>
  <si>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</si>
  <si>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</si>
  <si>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</si>
  <si>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</si>
  <si>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</si>
  <si>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</si>
  <si>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</si>
  <si>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</si>
  <si>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</si>
  <si>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</si>
  <si>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</si>
  <si>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</si>
  <si>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</si>
  <si>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</si>
  <si>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</si>
  <si>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</si>
  <si>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</si>
  <si>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</si>
  <si>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</si>
  <si>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</si>
  <si>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</si>
  <si>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</si>
  <si>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</si>
  <si>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</si>
  <si>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</si>
  <si>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</si>
  <si>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</si>
  <si>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</si>
  <si>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</si>
  <si>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</si>
  <si>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</si>
  <si>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</si>
  <si>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</si>
  <si>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</si>
  <si>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</si>
  <si>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</si>
  <si>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</si>
  <si>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</si>
  <si>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</si>
  <si>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</si>
  <si>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</si>
  <si>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</si>
  <si>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</si>
  <si>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</si>
  <si>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</si>
  <si>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</si>
  <si>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</si>
  <si>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</si>
  <si>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</si>
  <si>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</si>
  <si>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</si>
  <si>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</si>
  <si>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</si>
  <si>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</si>
  <si>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</si>
  <si>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</si>
  <si>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</si>
  <si>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</si>
  <si>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</si>
  <si>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</si>
  <si>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</si>
  <si>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</si>
  <si>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</si>
  <si>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</si>
  <si>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</si>
  <si>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</si>
  <si>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</si>
  <si>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</si>
  <si>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</si>
  <si>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</si>
  <si>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</si>
  <si>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</si>
  <si>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</si>
  <si>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</si>
  <si>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</si>
  <si>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</si>
  <si>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</si>
  <si>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</si>
  <si>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</si>
  <si>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</si>
  <si>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</si>
  <si>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</si>
  <si>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</si>
  <si>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</si>
  <si>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</si>
  <si>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</si>
  <si>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</si>
  <si>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</si>
  <si>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</si>
  <si>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</si>
  <si>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</si>
  <si>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</si>
  <si>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</si>
  <si>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</si>
  <si>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</si>
  <si>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</si>
  <si>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</si>
  <si>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</si>
  <si>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</si>
  <si>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</si>
  <si>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</si>
  <si>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</si>
  <si>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</si>
  <si>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</si>
  <si>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</si>
  <si>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</si>
  <si>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</si>
  <si>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</si>
  <si>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</si>
  <si>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</si>
  <si>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</si>
  <si>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</si>
  <si>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</si>
  <si>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</si>
  <si>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</si>
  <si>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</si>
  <si>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</si>
  <si>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</si>
  <si>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</si>
  <si>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</si>
  <si>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</si>
  <si>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</si>
  <si>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</si>
  <si>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</si>
  <si>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</si>
  <si>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</si>
  <si>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</si>
  <si>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</si>
  <si>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</si>
  <si>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</si>
  <si>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</si>
  <si>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</si>
  <si>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</si>
  <si>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</si>
  <si>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</si>
  <si>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</si>
  <si>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</si>
  <si>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</si>
  <si>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</si>
  <si>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</si>
  <si>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</si>
  <si>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</si>
  <si>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</si>
  <si>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</si>
  <si>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</si>
  <si>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</si>
  <si>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</si>
  <si>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</si>
  <si>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</si>
  <si>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</si>
  <si>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</si>
  <si>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</si>
  <si>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</si>
  <si>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</si>
  <si>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</si>
  <si>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</si>
  <si>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</si>
  <si>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</si>
  <si>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</si>
  <si>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</si>
  <si>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</si>
  <si>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</si>
  <si>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</si>
  <si>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</si>
  <si>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</si>
  <si>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</si>
  <si>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</si>
  <si>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</si>
  <si>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</si>
  <si>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</si>
  <si>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</si>
  <si>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</si>
  <si>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</si>
  <si>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</si>
  <si>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</si>
  <si>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</si>
  <si>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</si>
  <si>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</si>
  <si>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</si>
  <si>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</si>
  <si>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</si>
  <si>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</si>
  <si>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</si>
  <si>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</si>
  <si>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</si>
  <si>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</si>
  <si>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</si>
  <si>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</si>
  <si>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</si>
  <si>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</si>
  <si>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</si>
  <si>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</si>
  <si>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</si>
  <si>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</si>
  <si>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</si>
  <si>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</si>
  <si>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</si>
  <si>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</si>
  <si>
    <t>IRR %</t>
  </si>
  <si>
    <t>One Floor STR + Co-Living</t>
  </si>
  <si>
    <t>Participant Return Comparison by Rent Option</t>
  </si>
  <si>
    <t>Rent Option</t>
  </si>
  <si>
    <t>Chart Label</t>
  </si>
  <si>
    <t>Base Co-Living / Medium-Term - Class A</t>
  </si>
  <si>
    <t>Base Co-Living / Medium-Term - Class B</t>
  </si>
  <si>
    <t>Base Co-Living / Medium-Term - Sponsor</t>
  </si>
  <si>
    <t>One Floor STR + Co-Living - Class A</t>
  </si>
  <si>
    <t>One Floor STR + Co-Living - Class B</t>
  </si>
  <si>
    <t>One Floor STR + Co-Living - Sponsor</t>
  </si>
  <si>
    <t>Whole Building STR - Class A</t>
  </si>
  <si>
    <t>Whole Building STR - Class B</t>
  </si>
  <si>
    <t>Whole Building STR - 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</si>
</sst>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6"/>
      <name val="Calibri"/>
      <family val="2"/>
    </font>
    <font>
      <b/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0" fontId="9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1" fillId="9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11" borderId="3" xfId="0" applyFont="1" applyFill="1" applyBorder="1"/>
    <xf numFmtId="0" fontId="3" fillId="12" borderId="3" xfId="0" applyFont="1" applyFill="1" applyBorder="1"/>
    <xf numFmtId="1" fontId="12" fillId="3" borderId="2" xfId="0" applyNumberFormat="1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0" fillId="5" borderId="0" xfId="0" applyFill="1"/>
    <xf numFmtId="0" fontId="0" fillId="4" borderId="0" xfId="0" applyFill="1"/>
    <xf numFmtId="0" fontId="9" fillId="0" borderId="0" xfId="0" applyFont="1"/>
    <xf numFmtId="0" fontId="10" fillId="10" borderId="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3" fillId="13" borderId="21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3" fillId="12" borderId="3" xfId="0" applyFont="1" applyFill="1" applyBorder="1"/>
    <xf numFmtId="0" fontId="0" fillId="12" borderId="20" xfId="0" applyFill="1" applyBorder="1"/>
    <xf numFmtId="0" fontId="0" fillId="12" borderId="4" xfId="0" applyFill="1" applyBorder="1"/>
    <xf numFmtId="0" fontId="3" fillId="11" borderId="3" xfId="0" applyFont="1" applyFill="1" applyBorder="1"/>
    <xf numFmtId="0" fontId="0" fillId="11" borderId="20" xfId="0" applyFill="1" applyBorder="1"/>
    <xf numFmtId="0" fontId="0" fillId="11" borderId="4" xfId="0" applyFill="1" applyBorder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6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3" fontId="4" fillId="0" borderId="0" xfId="0" applyNumberFormat="1" applyFont="1"/>
    <xf numFmtId="0" fontId="0" fillId="3" borderId="21" xfId="0" applyFill="1" applyBorder="1"/>
    <xf numFmtId="0" fontId="0" fillId="3" borderId="22" xfId="0" applyFill="1" applyBorder="1"/>
    <xf numFmtId="0" fontId="0" fillId="3" borderId="11" xfId="0" applyFill="1" applyBorder="1"/>
    <xf numFmtId="3" fontId="0" fillId="3" borderId="11" xfId="0" applyNumberFormat="1" applyFill="1" applyBorder="1"/>
    <xf numFmtId="164" fontId="0" fillId="3" borderId="11" xfId="0" applyNumberFormat="1" applyFill="1" applyBorder="1"/>
    <xf numFmtId="3" fontId="0" fillId="3" borderId="21" xfId="0" applyNumberFormat="1" applyFill="1" applyBorder="1"/>
    <xf numFmtId="0" fontId="0" fillId="11" borderId="21" xfId="0" applyFill="1" applyBorder="1"/>
    <xf numFmtId="0" fontId="0" fillId="11" borderId="22" xfId="0" applyFill="1" applyBorder="1"/>
    <xf numFmtId="0" fontId="0" fillId="11" borderId="11" xfId="0" applyFill="1" applyBorder="1"/>
    <xf numFmtId="3" fontId="0" fillId="11" borderId="11" xfId="0" applyNumberFormat="1" applyFill="1" applyBorder="1"/>
    <xf numFmtId="164" fontId="0" fillId="11" borderId="11" xfId="0" applyNumberFormat="1" applyFill="1" applyBorder="1"/>
    <xf numFmtId="3" fontId="0" fillId="11" borderId="21" xfId="0" applyNumberFormat="1" applyFill="1" applyBorder="1"/>
    <xf numFmtId="0" fontId="0" fillId="12" borderId="21" xfId="0" applyFill="1" applyBorder="1"/>
    <xf numFmtId="0" fontId="0" fillId="12" borderId="22" xfId="0" applyFill="1" applyBorder="1"/>
    <xf numFmtId="0" fontId="0" fillId="12" borderId="11" xfId="0" applyFill="1" applyBorder="1"/>
    <xf numFmtId="3" fontId="0" fillId="12" borderId="11" xfId="0" applyNumberFormat="1" applyFill="1" applyBorder="1"/>
    <xf numFmtId="164" fontId="0" fillId="12" borderId="11" xfId="0" applyNumberFormat="1" applyFill="1" applyBorder="1"/>
    <xf numFmtId="3" fontId="0" fillId="12" borderId="21" xfId="0" applyNumberFormat="1" applyFill="1" applyBorder="1"/>
    <xf numFmtId="0" fontId="13" fillId="13" borderId="6" xfId="0" applyFont="1" applyFill="1" applyBorder="1"/>
    <xf numFmtId="0" fontId="0" fillId="0" borderId="23" xfId="0" applyBorder="1"/>
    <xf numFmtId="0" fontId="0" fillId="0" borderId="7" xfId="0" applyBorder="1"/>
    <xf numFmtId="0" fontId="3" fillId="13" borderId="2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5" xfId="0" applyBorder="1"/>
    <xf numFmtId="0" fontId="0" fillId="3" borderId="24" xfId="0" applyFill="1" applyBorder="1"/>
    <xf numFmtId="0" fontId="0" fillId="3" borderId="0" xfId="0" applyFill="1" applyBorder="1"/>
    <xf numFmtId="0" fontId="0" fillId="3" borderId="25" xfId="0" applyFill="1" applyBorder="1"/>
    <xf numFmtId="0" fontId="0" fillId="11" borderId="24" xfId="0" applyFill="1" applyBorder="1"/>
    <xf numFmtId="0" fontId="0" fillId="11" borderId="0" xfId="0" applyFill="1" applyBorder="1"/>
    <xf numFmtId="0" fontId="0" fillId="11" borderId="25" xfId="0" applyFill="1" applyBorder="1"/>
    <xf numFmtId="0" fontId="0" fillId="12" borderId="24" xfId="0" applyFill="1" applyBorder="1"/>
    <xf numFmtId="0" fontId="0" fillId="12" borderId="0" xfId="0" applyFill="1" applyBorder="1"/>
    <xf numFmtId="0" fontId="0" fillId="12" borderId="25" xfId="0" applyFill="1" applyBorder="1"/>
    <xf numFmtId="0" fontId="0" fillId="12" borderId="8" xfId="0" applyFill="1" applyBorder="1"/>
    <xf numFmtId="0" fontId="0" fillId="12" borderId="10" xfId="0" applyFill="1" applyBorder="1"/>
    <xf numFmtId="0" fontId="0" fillId="12" borderId="26" xfId="0" applyFill="1" applyBorder="1"/>
    <xf numFmtId="0" fontId="0" fillId="12" borderId="27" xfId="0" applyFill="1" applyBorder="1"/>
    <xf numFmtId="0" fontId="0" fillId="12" borderId="28" xfId="0" applyFill="1" applyBorder="1"/>
    <xf numFmtId="3" fontId="0" fillId="12" borderId="27" xfId="0" applyNumberFormat="1" applyFill="1" applyBorder="1"/>
    <xf numFmtId="164" fontId="0" fillId="12" borderId="27" xfId="0" applyNumberFormat="1" applyFill="1" applyBorder="1"/>
    <xf numFmtId="3" fontId="0" fillId="12" borderId="28" xfId="0" applyNumberFormat="1" applyFill="1" applyBorder="1"/>
    <xf numFmtId="0" fontId="0" fillId="12" borderId="9" xfId="0" applyFill="1" applyBorder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Return Metrics by Rent Option and Participant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Profit</c:v>
          </c:tx>
          <c:spPr>
            <a:solidFill>
              <a:srgbClr val="476F58"/>
            </a:solidFill>
          </c:spPr>
          <c:invertIfNegative val="0"/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Waterfall!$J$34:$J$42</c:f>
              <c:numCache>
                <c:formatCode>#,##0</c:formatCode>
                <c:ptCount val="9"/>
                <c:pt idx="0">
                  <c:v>219799.48570431559</c:v>
                </c:pt>
                <c:pt idx="1">
                  <c:v>234783.08283288495</c:v>
                </c:pt>
                <c:pt idx="2">
                  <c:v>327148.34739884926</c:v>
                </c:pt>
                <c:pt idx="3">
                  <c:v>264666.01012491627</c:v>
                </c:pt>
                <c:pt idx="4">
                  <c:v>316186.60410725744</c:v>
                </c:pt>
                <c:pt idx="5">
                  <c:v>453156.53786465875</c:v>
                </c:pt>
                <c:pt idx="6">
                  <c:v>278057.43248614768</c:v>
                </c:pt>
                <c:pt idx="7">
                  <c:v>338354.90441211156</c:v>
                </c:pt>
                <c:pt idx="8">
                  <c:v>487471.85203518625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929535"/>
        <c:axId val="2061930975"/>
      </c:barChart>
      <c:lineChart>
        <c:grouping val="standard"/>
        <c:varyColors val="0"/>
        <c:ser>
          <c:idx val="1"/>
          <c:order val="1"/>
          <c:tx>
            <c:v>ROI %</c:v>
          </c:tx>
          <c:spPr>
            <a:ln>
              <a:solidFill>
                <a:srgbClr val="0078D7"/>
              </a:solidFill>
            </a:ln>
          </c:spPr>
          <c:marker>
            <c:symbol val="circle"/>
            <c:size val="5"/>
            <c:spPr>
              <a:ln>
                <a:solidFill>
                  <a:srgbClr val="0078D7"/>
                </a:solidFill>
              </a:ln>
            </c:spPr>
          </c:marker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Waterfall!$K$34:$K$42</c:f>
              <c:numCache>
                <c:formatCode>0.0%</c:formatCode>
                <c:ptCount val="9"/>
                <c:pt idx="0">
                  <c:v>0.73266495234771867</c:v>
                </c:pt>
                <c:pt idx="1">
                  <c:v>0.42882754855321453</c:v>
                </c:pt>
                <c:pt idx="2">
                  <c:v>2.4005073809561668</c:v>
                </c:pt>
                <c:pt idx="3">
                  <c:v>0.88222003374972091</c:v>
                </c:pt>
                <c:pt idx="4">
                  <c:v>0.57750977919133784</c:v>
                </c:pt>
                <c:pt idx="5">
                  <c:v>3.3251141952015932</c:v>
                </c:pt>
                <c:pt idx="6">
                  <c:v>0.92685810828715898</c:v>
                </c:pt>
                <c:pt idx="7">
                  <c:v>0.61799982541024945</c:v>
                </c:pt>
                <c:pt idx="8">
                  <c:v>3.5769087269519035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5-4A00-B737-6F6B092372B8}"/>
            </c:ext>
          </c:extLst>
        </c:ser>
        <c:ser>
          <c:idx val="2"/>
          <c:order val="2"/>
          <c:tx>
            <c:v>IRR %</c:v>
          </c:tx>
          <c:spPr>
            <a:ln>
              <a:solidFill>
                <a:srgbClr val="FF9900"/>
              </a:solidFill>
            </a:ln>
          </c:spPr>
          <c:marker>
            <c:symbol val="circle"/>
            <c:size val="5"/>
            <c:spPr>
              <a:ln>
                <a:solidFill>
                  <a:srgbClr val="FF9900"/>
                </a:solidFill>
              </a:ln>
            </c:spPr>
          </c:marker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Waterfall!$L$34:$L$42</c:f>
              <c:numCache>
                <c:formatCode>0.0%</c:formatCode>
                <c:ptCount val="9"/>
                <c:pt idx="0">
                  <c:v>0.1634264838474333</c:v>
                </c:pt>
                <c:pt idx="1">
                  <c:v>8.9826902125470953E-2</c:v>
                </c:pt>
                <c:pt idx="2">
                  <c:v>0.58541819876459078</c:v>
                </c:pt>
                <c:pt idx="3">
                  <c:v>0.18498025525507211</c:v>
                </c:pt>
                <c:pt idx="4">
                  <c:v>0.11563386411139498</c:v>
                </c:pt>
                <c:pt idx="5">
                  <c:v>0.68267085359075441</c:v>
                </c:pt>
                <c:pt idx="6">
                  <c:v>0.18919673669698978</c:v>
                </c:pt>
                <c:pt idx="7">
                  <c:v>0.12146973485163892</c:v>
                </c:pt>
                <c:pt idx="8">
                  <c:v>0.7056305810885255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932415"/>
        <c:axId val="2061932895"/>
      </c:lineChart>
      <c:catAx>
        <c:axId val="206192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700"/>
            </a:pPr>
            <a:endParaRPr lang="en-US"/>
          </a:p>
        </c:txPr>
        <c:crossAx val="2061930975"/>
        <c:crosses val="autoZero"/>
        <c:auto val="1"/>
        <c:lblAlgn val="ctr"/>
        <c:lblOffset val="100"/>
        <c:noMultiLvlLbl val="0"/>
      </c:catAx>
      <c:valAx>
        <c:axId val="2061930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Profit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2061929535"/>
        <c:crosses val="autoZero"/>
        <c:crossBetween val="between"/>
      </c:valAx>
      <c:valAx>
        <c:axId val="206193289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ROI / IRR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061932415"/>
        <c:crosses val="max"/>
        <c:crossBetween val="between"/>
      </c:valAx>
      <c:catAx>
        <c:axId val="2061932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1932895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</c:spPr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3</xdr:row>
          <xdr:rowOff>152400</xdr:rowOff>
        </xdr:from>
        <xdr:to>
          <xdr:col>18</xdr:col>
          <xdr:colOff>0</xdr:colOff>
          <xdr:row>14</xdr:row>
          <xdr:rowOff>57150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152400</xdr:rowOff>
        </xdr:from>
        <xdr:to>
          <xdr:col>19</xdr:col>
          <xdr:colOff>0</xdr:colOff>
          <xdr:row>14</xdr:row>
          <xdr:rowOff>57150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3</xdr:row>
          <xdr:rowOff>190500</xdr:rowOff>
        </xdr:from>
        <xdr:to>
          <xdr:col>17</xdr:col>
          <xdr:colOff>581025</xdr:colOff>
          <xdr:row>5</xdr:row>
          <xdr:rowOff>9525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3</xdr:row>
          <xdr:rowOff>190500</xdr:rowOff>
        </xdr:from>
        <xdr:to>
          <xdr:col>18</xdr:col>
          <xdr:colOff>581025</xdr:colOff>
          <xdr:row>5</xdr:row>
          <xdr:rowOff>9525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4</xdr:row>
          <xdr:rowOff>190500</xdr:rowOff>
        </xdr:from>
        <xdr:to>
          <xdr:col>17</xdr:col>
          <xdr:colOff>581025</xdr:colOff>
          <xdr:row>6</xdr:row>
          <xdr:rowOff>9525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4</xdr:row>
          <xdr:rowOff>190500</xdr:rowOff>
        </xdr:from>
        <xdr:to>
          <xdr:col>18</xdr:col>
          <xdr:colOff>581025</xdr:colOff>
          <xdr:row>6</xdr:row>
          <xdr:rowOff>9525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5</xdr:row>
          <xdr:rowOff>190500</xdr:rowOff>
        </xdr:from>
        <xdr:to>
          <xdr:col>17</xdr:col>
          <xdr:colOff>581025</xdr:colOff>
          <xdr:row>7</xdr:row>
          <xdr:rowOff>19050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5</xdr:row>
          <xdr:rowOff>190500</xdr:rowOff>
        </xdr:from>
        <xdr:to>
          <xdr:col>18</xdr:col>
          <xdr:colOff>581025</xdr:colOff>
          <xdr:row>7</xdr:row>
          <xdr:rowOff>19050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6</xdr:row>
          <xdr:rowOff>180975</xdr:rowOff>
        </xdr:from>
        <xdr:to>
          <xdr:col>17</xdr:col>
          <xdr:colOff>581025</xdr:colOff>
          <xdr:row>8</xdr:row>
          <xdr:rowOff>19050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6</xdr:row>
          <xdr:rowOff>180975</xdr:rowOff>
        </xdr:from>
        <xdr:to>
          <xdr:col>18</xdr:col>
          <xdr:colOff>581025</xdr:colOff>
          <xdr:row>8</xdr:row>
          <xdr:rowOff>19050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7</xdr:row>
          <xdr:rowOff>180975</xdr:rowOff>
        </xdr:from>
        <xdr:to>
          <xdr:col>17</xdr:col>
          <xdr:colOff>581025</xdr:colOff>
          <xdr:row>9</xdr:row>
          <xdr:rowOff>19050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7</xdr:row>
          <xdr:rowOff>180975</xdr:rowOff>
        </xdr:from>
        <xdr:to>
          <xdr:col>18</xdr:col>
          <xdr:colOff>581025</xdr:colOff>
          <xdr:row>9</xdr:row>
          <xdr:rowOff>19050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8</xdr:row>
          <xdr:rowOff>180975</xdr:rowOff>
        </xdr:from>
        <xdr:to>
          <xdr:col>17</xdr:col>
          <xdr:colOff>581025</xdr:colOff>
          <xdr:row>10</xdr:row>
          <xdr:rowOff>19050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8</xdr:row>
          <xdr:rowOff>180975</xdr:rowOff>
        </xdr:from>
        <xdr:to>
          <xdr:col>18</xdr:col>
          <xdr:colOff>581025</xdr:colOff>
          <xdr:row>10</xdr:row>
          <xdr:rowOff>19050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9</xdr:row>
          <xdr:rowOff>180975</xdr:rowOff>
        </xdr:from>
        <xdr:to>
          <xdr:col>17</xdr:col>
          <xdr:colOff>581025</xdr:colOff>
          <xdr:row>11</xdr:row>
          <xdr:rowOff>19050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9</xdr:row>
          <xdr:rowOff>180975</xdr:rowOff>
        </xdr:from>
        <xdr:to>
          <xdr:col>18</xdr:col>
          <xdr:colOff>581025</xdr:colOff>
          <xdr:row>11</xdr:row>
          <xdr:rowOff>19050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10</xdr:row>
          <xdr:rowOff>180975</xdr:rowOff>
        </xdr:from>
        <xdr:to>
          <xdr:col>17</xdr:col>
          <xdr:colOff>581025</xdr:colOff>
          <xdr:row>12</xdr:row>
          <xdr:rowOff>19050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10</xdr:row>
          <xdr:rowOff>180975</xdr:rowOff>
        </xdr:from>
        <xdr:to>
          <xdr:col>18</xdr:col>
          <xdr:colOff>581025</xdr:colOff>
          <xdr:row>12</xdr:row>
          <xdr:rowOff>19050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11</xdr:row>
          <xdr:rowOff>180975</xdr:rowOff>
        </xdr:from>
        <xdr:to>
          <xdr:col>17</xdr:col>
          <xdr:colOff>581025</xdr:colOff>
          <xdr:row>13</xdr:row>
          <xdr:rowOff>19050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11</xdr:row>
          <xdr:rowOff>180975</xdr:rowOff>
        </xdr:from>
        <xdr:to>
          <xdr:col>18</xdr:col>
          <xdr:colOff>581025</xdr:colOff>
          <xdr:row>13</xdr:row>
          <xdr:rowOff>19050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12</xdr:row>
          <xdr:rowOff>180975</xdr:rowOff>
        </xdr:from>
        <xdr:to>
          <xdr:col>17</xdr:col>
          <xdr:colOff>581025</xdr:colOff>
          <xdr:row>14</xdr:row>
          <xdr:rowOff>19050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12</xdr:row>
          <xdr:rowOff>180975</xdr:rowOff>
        </xdr:from>
        <xdr:to>
          <xdr:col>18</xdr:col>
          <xdr:colOff>581025</xdr:colOff>
          <xdr:row>14</xdr:row>
          <xdr:rowOff>19050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152400</xdr:rowOff>
        </xdr:from>
        <xdr:to>
          <xdr:col>1</xdr:col>
          <xdr:colOff>0</xdr:colOff>
          <xdr:row>17</xdr:row>
          <xdr:rowOff>0</xdr:rowOff>
        </xdr:to>
        <xdr:sp macro="" textlink="">
          <xdr:nvSpPr>
            <xdr:cNvPr id="2129" name="WfSTR_Group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4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16</xdr:row>
          <xdr:rowOff>180975</xdr:rowOff>
        </xdr:from>
        <xdr:to>
          <xdr:col>0</xdr:col>
          <xdr:colOff>590550</xdr:colOff>
          <xdr:row>18</xdr:row>
          <xdr:rowOff>0</xdr:rowOff>
        </xdr:to>
        <xdr:sp macro="" textlink="">
          <xdr:nvSpPr>
            <xdr:cNvPr id="2130" name="WfSTR_Opt_1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4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17</xdr:row>
          <xdr:rowOff>180975</xdr:rowOff>
        </xdr:from>
        <xdr:to>
          <xdr:col>0</xdr:col>
          <xdr:colOff>590550</xdr:colOff>
          <xdr:row>19</xdr:row>
          <xdr:rowOff>0</xdr:rowOff>
        </xdr:to>
        <xdr:sp macro="" textlink="">
          <xdr:nvSpPr>
            <xdr:cNvPr id="2131" name="WfSTR_Opt_2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4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18</xdr:row>
          <xdr:rowOff>180975</xdr:rowOff>
        </xdr:from>
        <xdr:to>
          <xdr:col>0</xdr:col>
          <xdr:colOff>590550</xdr:colOff>
          <xdr:row>20</xdr:row>
          <xdr:rowOff>0</xdr:rowOff>
        </xdr:to>
        <xdr:sp macro="" textlink="">
          <xdr:nvSpPr>
            <xdr:cNvPr id="2132" name="WfSTR_Opt_3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4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45</xdr:row>
      <xdr:rowOff>0</xdr:rowOff>
    </xdr:from>
    <xdr:to>
      <xdr:col>14</xdr:col>
      <xdr:colOff>0</xdr:colOff>
      <xdr:row>61</xdr:row>
      <xdr:rowOff>63500</xdr:rowOff>
    </xdr:to>
    <xdr:graphicFrame macro="">
      <xdr:nvGraphicFramePr>
        <xdr:cNvPr id="3" name="ParticipantScenarioReturnChart">
          <a:extLst>
            <a:ext uri="{FF2B5EF4-FFF2-40B4-BE49-F238E27FC236}">
              <a16:creationId xmlns:a16="http://schemas.microsoft.com/office/drawing/2014/main" id="{65B7AC06-02C0-523E-0741-5503EDC7F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23:S27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C24-B24</calculatedColumnFormula>
    </tableColumn>
    <tableColumn id="5" xr3:uid="{10FF1ED7-A502-4F2E-A54A-B0007AA7263A}" name="Year 1" dataDxfId="15">
      <calculatedColumnFormula>IFERROR(C24/B24,0)</calculatedColumnFormula>
    </tableColumn>
    <tableColumn id="6" xr3:uid="{ECDBC3DC-2987-4B43-8FA8-210E2BD2C527}" name="Year 2" dataDxfId="14">
      <calculatedColumnFormula>IFERROR(D24/B24,0)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1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opLeftCell="A5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85" t="s">
        <v>329</v>
      </c>
      <c r="B1" s="82"/>
      <c r="C1" s="82"/>
      <c r="D1" s="82"/>
    </row>
    <row r="2" spans="1:10" ht="15.75" thickBot="1" x14ac:dyDescent="0.3">
      <c r="B2" s="82" t="s">
        <v>333</v>
      </c>
      <c r="C2" s="82"/>
      <c r="D2" s="82"/>
    </row>
    <row r="3" spans="1:10" ht="15.75" thickBot="1" x14ac:dyDescent="0.3">
      <c r="A3" s="5" t="s">
        <v>330</v>
      </c>
      <c r="H3" s="71" t="s">
        <v>372</v>
      </c>
    </row>
    <row r="4" spans="1:10" ht="15.75" thickBot="1" x14ac:dyDescent="0.3">
      <c r="A4" t="s">
        <v>331</v>
      </c>
      <c r="D4" s="98" t="str">
        <f>IF(OR($H$4&lt;1,$H$4&gt;3),"",INDEX($B$7:$B$9,$H$4))</f>
        <v>Whole Building STR</v>
      </c>
      <c r="E4" s="99"/>
      <c r="F4" s="100"/>
      <c r="H4" s="74">
        <v>3</v>
      </c>
    </row>
    <row r="5" spans="1:10" ht="15.75" thickBot="1" x14ac:dyDescent="0.3"/>
    <row r="6" spans="1:10" ht="15.75" thickBot="1" x14ac:dyDescent="0.3">
      <c r="A6" s="12" t="s">
        <v>373</v>
      </c>
      <c r="B6" s="86" t="s">
        <v>374</v>
      </c>
      <c r="C6" s="87"/>
      <c r="D6" s="88"/>
      <c r="E6" s="86" t="s">
        <v>375</v>
      </c>
      <c r="F6" s="87"/>
      <c r="G6" s="87"/>
      <c r="H6" s="87"/>
      <c r="I6" s="87"/>
      <c r="J6" s="88"/>
    </row>
    <row r="7" spans="1:10" ht="15.75" thickBot="1" x14ac:dyDescent="0.3">
      <c r="B7" s="89" t="s">
        <v>332</v>
      </c>
      <c r="C7" s="90"/>
      <c r="D7" s="91"/>
      <c r="E7" s="89" t="s">
        <v>336</v>
      </c>
      <c r="F7" s="90"/>
      <c r="G7" s="90"/>
      <c r="H7" s="90"/>
      <c r="I7" s="90"/>
      <c r="J7" s="91"/>
    </row>
    <row r="8" spans="1:10" ht="15.75" thickBot="1" x14ac:dyDescent="0.3">
      <c r="B8" s="92" t="s">
        <v>334</v>
      </c>
      <c r="C8" s="93"/>
      <c r="D8" s="94"/>
      <c r="E8" s="92" t="s">
        <v>376</v>
      </c>
      <c r="F8" s="93"/>
      <c r="G8" s="93"/>
      <c r="H8" s="93"/>
      <c r="I8" s="93"/>
      <c r="J8" s="94"/>
    </row>
    <row r="9" spans="1:10" ht="15.75" thickBot="1" x14ac:dyDescent="0.3">
      <c r="B9" s="95" t="s">
        <v>335</v>
      </c>
      <c r="C9" s="96"/>
      <c r="D9" s="97"/>
      <c r="E9" s="95" t="s">
        <v>377</v>
      </c>
      <c r="F9" s="96"/>
      <c r="G9" s="96"/>
      <c r="H9" s="96"/>
      <c r="I9" s="96"/>
      <c r="J9" s="97"/>
    </row>
    <row r="12" spans="1:10" x14ac:dyDescent="0.25">
      <c r="A12" s="81" t="s">
        <v>337</v>
      </c>
      <c r="B12" s="81"/>
      <c r="C12" s="81"/>
    </row>
    <row r="13" spans="1:10" ht="30" x14ac:dyDescent="0.25">
      <c r="A13" s="66" t="s">
        <v>338</v>
      </c>
      <c r="B13" s="66"/>
      <c r="C13" s="66"/>
      <c r="D13" s="66" t="s">
        <v>339</v>
      </c>
      <c r="E13" s="66" t="s">
        <v>340</v>
      </c>
      <c r="F13" s="66" t="s">
        <v>341</v>
      </c>
      <c r="G13" s="66" t="s">
        <v>292</v>
      </c>
    </row>
    <row r="14" spans="1:10" x14ac:dyDescent="0.25">
      <c r="A14" s="83" t="s">
        <v>342</v>
      </c>
      <c r="B14" s="83"/>
      <c r="C14" s="83"/>
      <c r="D14" s="67">
        <v>2500</v>
      </c>
      <c r="E14" s="67">
        <v>3250</v>
      </c>
      <c r="F14" s="67">
        <v>4000</v>
      </c>
      <c r="G14" s="73" t="s">
        <v>343</v>
      </c>
      <c r="H14" s="73"/>
      <c r="I14" s="73"/>
      <c r="J14" s="73"/>
    </row>
    <row r="15" spans="1:10" x14ac:dyDescent="0.25">
      <c r="A15" s="83" t="s">
        <v>344</v>
      </c>
      <c r="B15" s="83"/>
      <c r="C15" s="83"/>
      <c r="D15" s="68">
        <v>0.4</v>
      </c>
      <c r="E15" s="68">
        <v>0.5</v>
      </c>
      <c r="F15" s="68">
        <v>0.6</v>
      </c>
      <c r="G15" s="73" t="s">
        <v>345</v>
      </c>
      <c r="H15" s="73"/>
      <c r="I15" s="73"/>
      <c r="J15" s="73"/>
    </row>
    <row r="16" spans="1:10" x14ac:dyDescent="0.25">
      <c r="A16" s="84" t="s">
        <v>346</v>
      </c>
      <c r="B16" s="84"/>
      <c r="C16" s="84"/>
      <c r="D16" s="69">
        <v>4500</v>
      </c>
      <c r="E16" s="69">
        <v>6000</v>
      </c>
      <c r="F16" s="69">
        <v>7500</v>
      </c>
      <c r="G16" s="72" t="s">
        <v>347</v>
      </c>
      <c r="H16" s="72"/>
      <c r="I16" s="72"/>
      <c r="J16" s="72"/>
    </row>
    <row r="17" spans="1:15" x14ac:dyDescent="0.25">
      <c r="A17" s="84" t="s">
        <v>348</v>
      </c>
      <c r="B17" s="84"/>
      <c r="C17" s="84"/>
      <c r="D17" s="70">
        <v>0.35</v>
      </c>
      <c r="E17" s="70">
        <v>0.45</v>
      </c>
      <c r="F17" s="70">
        <v>0.55000000000000004</v>
      </c>
      <c r="G17" s="72" t="s">
        <v>345</v>
      </c>
      <c r="H17" s="72"/>
      <c r="I17" s="72"/>
      <c r="J17" s="72"/>
    </row>
    <row r="18" spans="1:15" x14ac:dyDescent="0.25">
      <c r="A18" s="82" t="s">
        <v>349</v>
      </c>
      <c r="B18" s="82"/>
      <c r="C18" s="82"/>
      <c r="D18" s="62">
        <v>0.08</v>
      </c>
      <c r="E18" s="62">
        <v>0.09</v>
      </c>
      <c r="F18" s="62">
        <v>0.1</v>
      </c>
      <c r="G18" t="s">
        <v>350</v>
      </c>
    </row>
    <row r="19" spans="1:15" x14ac:dyDescent="0.25">
      <c r="A19" s="82" t="s">
        <v>351</v>
      </c>
      <c r="B19" s="82"/>
      <c r="C19" s="82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81" t="s">
        <v>353</v>
      </c>
      <c r="B23" s="81"/>
      <c r="C23" s="81"/>
    </row>
    <row r="24" spans="1:15" s="65" customFormat="1" ht="60" x14ac:dyDescent="0.25">
      <c r="A24" s="65" t="s">
        <v>55</v>
      </c>
      <c r="B24" s="65" t="s">
        <v>354</v>
      </c>
      <c r="C24" s="65" t="s">
        <v>355</v>
      </c>
      <c r="D24" s="65" t="s">
        <v>356</v>
      </c>
      <c r="E24" s="65" t="s">
        <v>357</v>
      </c>
      <c r="F24" s="65" t="s">
        <v>358</v>
      </c>
      <c r="G24" s="65" t="s">
        <v>359</v>
      </c>
      <c r="H24" s="65" t="s">
        <v>360</v>
      </c>
      <c r="I24" s="65" t="s">
        <v>361</v>
      </c>
      <c r="J24" s="65" t="s">
        <v>362</v>
      </c>
      <c r="K24" s="65" t="s">
        <v>363</v>
      </c>
      <c r="L24" s="65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7">
        <f>IF(STRScenarioTable[[#This Row],[Year]]&gt;=3,$F$14,IF(STRScenarioTable[[#This Row],[Year]]&gt;=2,$E$14,$D$14))</f>
        <v>2500</v>
      </c>
      <c r="F25" s="68">
        <f>IF(STRScenarioTable[[#This Row],[Year]]&gt;=3,$F$15,IF(STRScenarioTable[[#This Row],[Year]]&gt;=2,$E$15,$D$15))</f>
        <v>0.4</v>
      </c>
      <c r="G25" s="67">
        <f>STRScenarioTable[[#This Row],[Base Annual Gross Rent]]/2</f>
        <v>52800</v>
      </c>
      <c r="H25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69">
        <f>IF(STRScenarioTable[[#This Row],[Year]]&gt;=3,$F$16,IF(STRScenarioTable[[#This Row],[Year]]&gt;=2,$E$16,$D$16))</f>
        <v>4500</v>
      </c>
      <c r="J25" s="70">
        <f>IF(STRScenarioTable[[#This Row],[Year]]&gt;=3,$F$17,IF(STRScenarioTable[[#This Row],[Year]]&gt;=2,$E$17,$D$17))</f>
        <v>0.35</v>
      </c>
      <c r="K25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7">
        <f>IF(STRScenarioTable[[#This Row],[Year]]&gt;=3,$F$14,IF(STRScenarioTable[[#This Row],[Year]]&gt;=2,$E$14,$D$14))</f>
        <v>3250</v>
      </c>
      <c r="F26" s="68">
        <f>IF(STRScenarioTable[[#This Row],[Year]]&gt;=3,$F$15,IF(STRScenarioTable[[#This Row],[Year]]&gt;=2,$E$15,$D$15))</f>
        <v>0.5</v>
      </c>
      <c r="G26" s="67">
        <f>STRScenarioTable[[#This Row],[Base Annual Gross Rent]]/2</f>
        <v>64800</v>
      </c>
      <c r="H26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69">
        <f>IF(STRScenarioTable[[#This Row],[Year]]&gt;=3,$F$16,IF(STRScenarioTable[[#This Row],[Year]]&gt;=2,$E$16,$D$16))</f>
        <v>6000</v>
      </c>
      <c r="J26" s="70">
        <f>IF(STRScenarioTable[[#This Row],[Year]]&gt;=3,$F$17,IF(STRScenarioTable[[#This Row],[Year]]&gt;=2,$E$17,$D$17))</f>
        <v>0.45</v>
      </c>
      <c r="K26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7">
        <f>IF(STRScenarioTable[[#This Row],[Year]]&gt;=3,$F$14,IF(STRScenarioTable[[#This Row],[Year]]&gt;=2,$E$14,$D$14))</f>
        <v>4000</v>
      </c>
      <c r="F27" s="68">
        <f>IF(STRScenarioTable[[#This Row],[Year]]&gt;=3,$F$15,IF(STRScenarioTable[[#This Row],[Year]]&gt;=2,$E$15,$D$15))</f>
        <v>0.6</v>
      </c>
      <c r="G27" s="67">
        <f>STRScenarioTable[[#This Row],[Base Annual Gross Rent]]/2</f>
        <v>72000</v>
      </c>
      <c r="H27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69">
        <f>IF(STRScenarioTable[[#This Row],[Year]]&gt;=3,$F$16,IF(STRScenarioTable[[#This Row],[Year]]&gt;=2,$E$16,$D$16))</f>
        <v>7500</v>
      </c>
      <c r="J27" s="70">
        <f>IF(STRScenarioTable[[#This Row],[Year]]&gt;=3,$F$17,IF(STRScenarioTable[[#This Row],[Year]]&gt;=2,$E$17,$D$17))</f>
        <v>0.55000000000000004</v>
      </c>
      <c r="K27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7">
        <f>IF(STRScenarioTable[[#This Row],[Year]]&gt;=3,$F$14,IF(STRScenarioTable[[#This Row],[Year]]&gt;=2,$E$14,$D$14))</f>
        <v>4000</v>
      </c>
      <c r="F28" s="68">
        <f>IF(STRScenarioTable[[#This Row],[Year]]&gt;=3,$F$15,IF(STRScenarioTable[[#This Row],[Year]]&gt;=2,$E$15,$D$15))</f>
        <v>0.6</v>
      </c>
      <c r="G28" s="67">
        <f>STRScenarioTable[[#This Row],[Base Annual Gross Rent]]/2</f>
        <v>72000</v>
      </c>
      <c r="H28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69">
        <f>IF(STRScenarioTable[[#This Row],[Year]]&gt;=3,$F$16,IF(STRScenarioTable[[#This Row],[Year]]&gt;=2,$E$16,$D$16))</f>
        <v>7500</v>
      </c>
      <c r="J28" s="70">
        <f>IF(STRScenarioTable[[#This Row],[Year]]&gt;=3,$F$17,IF(STRScenarioTable[[#This Row],[Year]]&gt;=2,$E$17,$D$17))</f>
        <v>0.55000000000000004</v>
      </c>
      <c r="K28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7">
        <f>IF(STRScenarioTable[[#This Row],[Year]]&gt;=3,$F$14,IF(STRScenarioTable[[#This Row],[Year]]&gt;=2,$E$14,$D$14))</f>
        <v>4000</v>
      </c>
      <c r="F29" s="68">
        <f>IF(STRScenarioTable[[#This Row],[Year]]&gt;=3,$F$15,IF(STRScenarioTable[[#This Row],[Year]]&gt;=2,$E$15,$D$15))</f>
        <v>0.6</v>
      </c>
      <c r="G29" s="67">
        <f>STRScenarioTable[[#This Row],[Base Annual Gross Rent]]/2</f>
        <v>72000</v>
      </c>
      <c r="H29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69">
        <f>IF(STRScenarioTable[[#This Row],[Year]]&gt;=3,$F$16,IF(STRScenarioTable[[#This Row],[Year]]&gt;=2,$E$16,$D$16))</f>
        <v>7500</v>
      </c>
      <c r="J29" s="70">
        <f>IF(STRScenarioTable[[#This Row],[Year]]&gt;=3,$F$17,IF(STRScenarioTable[[#This Row],[Year]]&gt;=2,$E$17,$D$17))</f>
        <v>0.55000000000000004</v>
      </c>
      <c r="K29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7">
        <f>IF(STRScenarioTable[[#This Row],[Year]]&gt;=3,$F$14,IF(STRScenarioTable[[#This Row],[Year]]&gt;=2,$E$14,$D$14))</f>
        <v>4000</v>
      </c>
      <c r="F30" s="68">
        <f>IF(STRScenarioTable[[#This Row],[Year]]&gt;=3,$F$15,IF(STRScenarioTable[[#This Row],[Year]]&gt;=2,$E$15,$D$15))</f>
        <v>0.6</v>
      </c>
      <c r="G30" s="67">
        <f>STRScenarioTable[[#This Row],[Base Annual Gross Rent]]/2</f>
        <v>72000</v>
      </c>
      <c r="H30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69">
        <f>IF(STRScenarioTable[[#This Row],[Year]]&gt;=3,$F$16,IF(STRScenarioTable[[#This Row],[Year]]&gt;=2,$E$16,$D$16))</f>
        <v>7500</v>
      </c>
      <c r="J30" s="70">
        <f>IF(STRScenarioTable[[#This Row],[Year]]&gt;=3,$F$17,IF(STRScenarioTable[[#This Row],[Year]]&gt;=2,$E$17,$D$17))</f>
        <v>0.55000000000000004</v>
      </c>
      <c r="K30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7">
        <f>IF(STRScenarioTable[[#This Row],[Year]]&gt;=3,$F$14,IF(STRScenarioTable[[#This Row],[Year]]&gt;=2,$E$14,$D$14))</f>
        <v>4000</v>
      </c>
      <c r="F31" s="68">
        <f>IF(STRScenarioTable[[#This Row],[Year]]&gt;=3,$F$15,IF(STRScenarioTable[[#This Row],[Year]]&gt;=2,$E$15,$D$15))</f>
        <v>0.6</v>
      </c>
      <c r="G31" s="67">
        <f>STRScenarioTable[[#This Row],[Base Annual Gross Rent]]/2</f>
        <v>72000</v>
      </c>
      <c r="H31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69">
        <f>IF(STRScenarioTable[[#This Row],[Year]]&gt;=3,$F$16,IF(STRScenarioTable[[#This Row],[Year]]&gt;=2,$E$16,$D$16))</f>
        <v>7500</v>
      </c>
      <c r="J31" s="70">
        <f>IF(STRScenarioTable[[#This Row],[Year]]&gt;=3,$F$17,IF(STRScenarioTable[[#This Row],[Year]]&gt;=2,$E$17,$D$17))</f>
        <v>0.55000000000000004</v>
      </c>
      <c r="K31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7">
        <f>IF(STRScenarioTable[[#This Row],[Year]]&gt;=3,$F$14,IF(STRScenarioTable[[#This Row],[Year]]&gt;=2,$E$14,$D$14))</f>
        <v>4000</v>
      </c>
      <c r="F32" s="68">
        <f>IF(STRScenarioTable[[#This Row],[Year]]&gt;=3,$F$15,IF(STRScenarioTable[[#This Row],[Year]]&gt;=2,$E$15,$D$15))</f>
        <v>0.6</v>
      </c>
      <c r="G32" s="67">
        <f>STRScenarioTable[[#This Row],[Base Annual Gross Rent]]/2</f>
        <v>72000</v>
      </c>
      <c r="H32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69">
        <f>IF(STRScenarioTable[[#This Row],[Year]]&gt;=3,$F$16,IF(STRScenarioTable[[#This Row],[Year]]&gt;=2,$E$16,$D$16))</f>
        <v>7500</v>
      </c>
      <c r="J32" s="70">
        <f>IF(STRScenarioTable[[#This Row],[Year]]&gt;=3,$F$17,IF(STRScenarioTable[[#This Row],[Year]]&gt;=2,$E$17,$D$17))</f>
        <v>0.55000000000000004</v>
      </c>
      <c r="K32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7">
        <f>IF(STRScenarioTable[[#This Row],[Year]]&gt;=3,$F$14,IF(STRScenarioTable[[#This Row],[Year]]&gt;=2,$E$14,$D$14))</f>
        <v>4000</v>
      </c>
      <c r="F33" s="68">
        <f>IF(STRScenarioTable[[#This Row],[Year]]&gt;=3,$F$15,IF(STRScenarioTable[[#This Row],[Year]]&gt;=2,$E$15,$D$15))</f>
        <v>0.6</v>
      </c>
      <c r="G33" s="67">
        <f>STRScenarioTable[[#This Row],[Base Annual Gross Rent]]/2</f>
        <v>72000</v>
      </c>
      <c r="H33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69">
        <f>IF(STRScenarioTable[[#This Row],[Year]]&gt;=3,$F$16,IF(STRScenarioTable[[#This Row],[Year]]&gt;=2,$E$16,$D$16))</f>
        <v>7500</v>
      </c>
      <c r="J33" s="70">
        <f>IF(STRScenarioTable[[#This Row],[Year]]&gt;=3,$F$17,IF(STRScenarioTable[[#This Row],[Year]]&gt;=2,$E$17,$D$17))</f>
        <v>0.55000000000000004</v>
      </c>
      <c r="K33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7">
        <f>IF(STRScenarioTable[[#This Row],[Year]]&gt;=3,$F$14,IF(STRScenarioTable[[#This Row],[Year]]&gt;=2,$E$14,$D$14))</f>
        <v>4000</v>
      </c>
      <c r="F34" s="68">
        <f>IF(STRScenarioTable[[#This Row],[Year]]&gt;=3,$F$15,IF(STRScenarioTable[[#This Row],[Year]]&gt;=2,$E$15,$D$15))</f>
        <v>0.6</v>
      </c>
      <c r="G34" s="67">
        <f>STRScenarioTable[[#This Row],[Base Annual Gross Rent]]/2</f>
        <v>72000</v>
      </c>
      <c r="H34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69">
        <f>IF(STRScenarioTable[[#This Row],[Year]]&gt;=3,$F$16,IF(STRScenarioTable[[#This Row],[Year]]&gt;=2,$E$16,$D$16))</f>
        <v>7500</v>
      </c>
      <c r="J34" s="70">
        <f>IF(STRScenarioTable[[#This Row],[Year]]&gt;=3,$F$17,IF(STRScenarioTable[[#This Row],[Year]]&gt;=2,$E$17,$D$17))</f>
        <v>0.55000000000000004</v>
      </c>
      <c r="K34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  <mergeCell ref="A12:C12"/>
    <mergeCell ref="A23:C23"/>
    <mergeCell ref="A19:C19"/>
    <mergeCell ref="A18:C18"/>
    <mergeCell ref="A14:C14"/>
    <mergeCell ref="A15:C15"/>
    <mergeCell ref="A16:C16"/>
    <mergeCell ref="A17:C17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5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3" t="s">
        <v>365</v>
      </c>
      <c r="M3" s="64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4" t="s">
        <v>331</v>
      </c>
      <c r="M4" s="64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4" t="s">
        <v>366</v>
      </c>
      <c r="M5" s="64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103" t="s">
        <v>281</v>
      </c>
      <c r="E7" s="103"/>
      <c r="F7" s="103"/>
      <c r="G7" s="103"/>
      <c r="H7" s="103"/>
      <c r="I7" s="103"/>
      <c r="J7" s="103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101" t="s">
        <v>53</v>
      </c>
      <c r="C48" s="102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04" t="s">
        <v>54</v>
      </c>
      <c r="B1" s="82"/>
      <c r="C1" s="8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3"/>
  <sheetViews>
    <sheetView tabSelected="1" topLeftCell="A25" workbookViewId="0">
      <selection activeCell="Q35" sqref="Q35"/>
    </sheetView>
  </sheetViews>
  <sheetFormatPr defaultRowHeight="15" x14ac:dyDescent="0.25"/>
  <cols>
    <col min="1" max="1" width="13.140625" style="6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21" width="9.140625" style="6"/>
    <col min="22" max="31" width="20" style="6" customWidth="1"/>
    <col min="32" max="16384" width="9.140625" style="6"/>
  </cols>
  <sheetData>
    <row r="1" spans="1:31" ht="15.75" thickBot="1" x14ac:dyDescent="0.3">
      <c r="B1"/>
      <c r="C1"/>
      <c r="D1" s="13"/>
      <c r="E1" s="13"/>
      <c r="F1" s="13"/>
      <c r="G1" s="13"/>
      <c r="H1" s="13"/>
      <c r="I1" s="13"/>
      <c r="J1" s="13"/>
      <c r="R1" s="13"/>
      <c r="S1" s="13"/>
    </row>
    <row r="2" spans="1:31" ht="19.5" thickBot="1" x14ac:dyDescent="0.35">
      <c r="A2" s="117" t="s">
        <v>68</v>
      </c>
      <c r="B2" s="118"/>
      <c r="C2" s="116" t="s">
        <v>267</v>
      </c>
      <c r="D2" s="114"/>
      <c r="E2" s="114"/>
      <c r="F2" s="114"/>
      <c r="G2" s="114"/>
      <c r="H2" s="114"/>
      <c r="I2" s="114"/>
      <c r="J2" s="113" t="s">
        <v>89</v>
      </c>
      <c r="K2" s="114"/>
      <c r="L2" s="114"/>
      <c r="M2" s="114"/>
      <c r="N2" s="115" t="s">
        <v>90</v>
      </c>
      <c r="O2" s="114"/>
      <c r="P2" s="114"/>
      <c r="R2" s="12" t="s">
        <v>317</v>
      </c>
      <c r="S2" s="12" t="s">
        <v>318</v>
      </c>
    </row>
    <row r="3" spans="1:31" s="23" customFormat="1" ht="15.75" customHeight="1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79">
        <v>3</v>
      </c>
      <c r="S3" s="79">
        <v>5</v>
      </c>
    </row>
    <row r="4" spans="1:31" ht="15.75" customHeight="1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31" ht="15.75" customHeight="1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0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0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0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31" ht="15.75" customHeight="1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41781.439211589022</v>
      </c>
      <c r="C6" s="13">
        <f>IF(WaterfallTable[[#This Row],[Year]]&gt;SaleExitYear,0,WaterfallTable[[#This Row],[Capital Balance A]]*ClassAPreferredReturn)</f>
        <v>24000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41781.439211589022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31" ht="15" customHeight="1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573104.0075724707</v>
      </c>
      <c r="C7" s="13">
        <f>IF(WaterfallTable[[#This Row],[Year]]&gt;SaleExitYear,0,WaterfallTable[[#This Row],[Capital Balance A]]*ClassAPreferredReturn)</f>
        <v>20657.484863072877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G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258218.56078841098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314885.44678405975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  <c r="V7"/>
      <c r="W7"/>
      <c r="X7"/>
      <c r="Y7"/>
      <c r="Z7"/>
      <c r="AA7"/>
      <c r="AB7"/>
      <c r="AC7"/>
      <c r="AD7"/>
      <c r="AE7"/>
    </row>
    <row r="8" spans="1:31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34827.567572470594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34827.567572470594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31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1337954.1745769151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I9" s="13">
        <f>IF(WaterfallTable[[#This Row],[Year]]&gt;SaleExitYear,0,WaterfallTable[[#This Row],[Pref Paid]]+WaterfallTable[[#This Row],[Capital Returned A]]+WaterfallTable[[#This Row],[Residual A]])</f>
        <v>278057.43248614768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M9" s="13">
        <f>IF(WaterfallTable[[#This Row],[Year]]&gt;SaleExitYear,0,WaterfallTable[[#This Row],[Capital Returned B]]+WaterfallTable[[#This Row],[ Residual   B]])</f>
        <v>536141.89005558123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P9" s="13">
        <f>IF(WaterfallTable[[#This Row],[Year]]&gt;SaleExitYear,0,WaterfallTable[[#This Row],[Property Payment]]+WaterfallTable[[#This Row],[Residual]])</f>
        <v>523754.85203518625</v>
      </c>
      <c r="R9" s="14"/>
    </row>
    <row r="10" spans="1:31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31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31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31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31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3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31" ht="15.75" thickBo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.75" thickBot="1" x14ac:dyDescent="0.3">
      <c r="A17" s="75" t="s">
        <v>373</v>
      </c>
      <c r="B17" s="86" t="s">
        <v>374</v>
      </c>
      <c r="C17" s="87"/>
      <c r="D17" s="88"/>
      <c r="E17" s="86" t="s">
        <v>375</v>
      </c>
      <c r="F17" s="87"/>
      <c r="G17" s="87"/>
      <c r="H17" s="87"/>
      <c r="I17" s="87"/>
      <c r="J17" s="87"/>
      <c r="K17" s="99"/>
      <c r="L17" s="100"/>
    </row>
    <row r="18" spans="1:19" s="14" customFormat="1" ht="15.75" thickBot="1" x14ac:dyDescent="0.3">
      <c r="A18" s="76"/>
      <c r="B18" s="89" t="s">
        <v>332</v>
      </c>
      <c r="C18" s="90"/>
      <c r="D18" s="91"/>
      <c r="E18" s="89" t="s">
        <v>336</v>
      </c>
      <c r="F18" s="90"/>
      <c r="G18" s="90"/>
      <c r="H18" s="90"/>
      <c r="I18" s="90"/>
      <c r="J18" s="90"/>
      <c r="K18" s="99"/>
      <c r="L18" s="100"/>
      <c r="M18" s="6"/>
      <c r="N18" s="6"/>
      <c r="O18" s="6"/>
      <c r="P18" s="6"/>
      <c r="Q18" s="6"/>
      <c r="R18" s="6"/>
    </row>
    <row r="19" spans="1:19" ht="15.75" thickBot="1" x14ac:dyDescent="0.3">
      <c r="A19" s="77"/>
      <c r="B19" s="110" t="s">
        <v>334</v>
      </c>
      <c r="C19" s="111"/>
      <c r="D19" s="112"/>
      <c r="E19" s="110" t="s">
        <v>376</v>
      </c>
      <c r="F19" s="111"/>
      <c r="G19" s="111"/>
      <c r="H19" s="111"/>
      <c r="I19" s="111"/>
      <c r="J19" s="111"/>
      <c r="K19" s="99"/>
      <c r="L19" s="100"/>
    </row>
    <row r="20" spans="1:19" ht="15.75" thickBot="1" x14ac:dyDescent="0.3">
      <c r="A20" s="78"/>
      <c r="B20" s="107" t="s">
        <v>335</v>
      </c>
      <c r="C20" s="108"/>
      <c r="D20" s="109"/>
      <c r="E20" s="107" t="s">
        <v>377</v>
      </c>
      <c r="F20" s="108"/>
      <c r="G20" s="108"/>
      <c r="H20" s="108"/>
      <c r="I20" s="108"/>
      <c r="J20" s="108"/>
      <c r="K20" s="99"/>
      <c r="L20" s="100"/>
    </row>
    <row r="22" spans="1:19" x14ac:dyDescent="0.25">
      <c r="A22" s="5" t="s">
        <v>269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45" x14ac:dyDescent="0.25">
      <c r="A23" s="57" t="s">
        <v>70</v>
      </c>
      <c r="B23" s="58" t="s">
        <v>305</v>
      </c>
      <c r="C23" s="58" t="s">
        <v>306</v>
      </c>
      <c r="D23" s="58" t="s">
        <v>307</v>
      </c>
      <c r="E23" s="58" t="s">
        <v>78</v>
      </c>
      <c r="F23" s="58" t="s">
        <v>79</v>
      </c>
      <c r="G23" s="58" t="s">
        <v>80</v>
      </c>
      <c r="H23" s="58" t="s">
        <v>81</v>
      </c>
      <c r="I23" s="58" t="s">
        <v>82</v>
      </c>
      <c r="J23" s="58" t="s">
        <v>83</v>
      </c>
      <c r="K23" s="58" t="s">
        <v>84</v>
      </c>
      <c r="L23" s="58" t="s">
        <v>85</v>
      </c>
      <c r="M23" s="58" t="s">
        <v>86</v>
      </c>
      <c r="N23" s="58" t="s">
        <v>87</v>
      </c>
      <c r="O23" s="58" t="s">
        <v>298</v>
      </c>
      <c r="P23" s="58" t="s">
        <v>299</v>
      </c>
      <c r="Q23" s="58" t="s">
        <v>74</v>
      </c>
      <c r="R23" s="59" t="s">
        <v>75</v>
      </c>
      <c r="S23" s="58" t="s">
        <v>76</v>
      </c>
    </row>
    <row r="24" spans="1:19" x14ac:dyDescent="0.25">
      <c r="A24" s="49" t="s">
        <v>88</v>
      </c>
      <c r="B24" s="41">
        <f>ClassACapital</f>
        <v>300000</v>
      </c>
      <c r="C24" s="41">
        <f>ClassACapital</f>
        <v>300000</v>
      </c>
      <c r="D24" s="41">
        <f>-ReturnsTable[[#This Row],[Capital Investment]]</f>
        <v>-300000</v>
      </c>
      <c r="E24" s="41">
        <f>IF(1&gt;SaleExitYear,0,INDEX(WaterfallTable[Total Dist A],MATCH(1,WaterfallTable[Year],0)))</f>
        <v>0</v>
      </c>
      <c r="F24" s="41">
        <f>IF(2&gt;SaleExitYear,0,INDEX(WaterfallTable[Total Dist A],MATCH(2,WaterfallTable[Year],0)))</f>
        <v>41781.439211589022</v>
      </c>
      <c r="G24" s="41">
        <f>IF(3&gt;SaleExitYear,0,INDEX(WaterfallTable[Total Dist A],MATCH(3,WaterfallTable[Year],0)))</f>
        <v>258218.56078841098</v>
      </c>
      <c r="H24" s="41">
        <f>IF(4&gt;SaleExitYear,0,INDEX(WaterfallTable[Total Dist A],MATCH(4,WaterfallTable[Year],0)))</f>
        <v>0</v>
      </c>
      <c r="I24" s="41">
        <f>IF(5&gt;SaleExitYear,0,INDEX(WaterfallTable[Total Dist A],MATCH(5,WaterfallTable[Year],0)))</f>
        <v>278057.43248614768</v>
      </c>
      <c r="J24" s="41">
        <f>IF(6&gt;SaleExitYear,0,INDEX(WaterfallTable[Total Dist A],MATCH(6,WaterfallTable[Year],0)))</f>
        <v>0</v>
      </c>
      <c r="K24" s="41">
        <f>IF(7&gt;SaleExitYear,0,INDEX(WaterfallTable[Total Dist A],MATCH(7,WaterfallTable[Year],0)))</f>
        <v>0</v>
      </c>
      <c r="L24" s="41">
        <f>IF(8&gt;SaleExitYear,0,INDEX(WaterfallTable[Total Dist A],MATCH(8,WaterfallTable[Year],0)))</f>
        <v>0</v>
      </c>
      <c r="M24" s="41">
        <f>IF(9&gt;SaleExitYear,0,INDEX(WaterfallTable[Total Dist A],MATCH(9,WaterfallTable[Year],0)))</f>
        <v>0</v>
      </c>
      <c r="N24" s="41">
        <f>IF(10&gt;SaleExitYear,0,INDEX(WaterfallTable[Total Dist A],MATCH(10,WaterfallTable[Year],0)))</f>
        <v>0</v>
      </c>
      <c r="O24" s="41">
        <f>SUM(ReturnsTable[[#This Row],[Initial Capitalization]:[Year 10]])</f>
        <v>278057.43248614768</v>
      </c>
      <c r="P24" s="41">
        <f>ReturnsTable[[#This Row],[Total Profit]]+ReturnsTable[[#This Row],[Capital Investment]]</f>
        <v>578057.43248614762</v>
      </c>
      <c r="Q24" s="42">
        <f>IFERROR(ReturnsTable[[#This Row],[Total Dist]]/ReturnsTable[[#This Row],[Capital Investment]],0)</f>
        <v>1.9268581082871588</v>
      </c>
      <c r="R24" s="53">
        <f>IFERROR(ReturnsTable[[#This Row],[Total Profit]]/ReturnsTable[[#This Row],[Capital Investment]],0)</f>
        <v>0.92685810828715898</v>
      </c>
      <c r="S24" s="60">
        <f>IFERROR(IRR(ReturnsTable[[#This Row],[Initial Capitalization]:[Year 10]]),0)</f>
        <v>0.18919673669698978</v>
      </c>
    </row>
    <row r="25" spans="1:19" x14ac:dyDescent="0.25">
      <c r="A25" s="50" t="s">
        <v>89</v>
      </c>
      <c r="B25" s="43">
        <f>ClassBCapital</f>
        <v>547500</v>
      </c>
      <c r="C25" s="43">
        <f>ClassBCapital</f>
        <v>547500</v>
      </c>
      <c r="D25" s="43">
        <f>-ReturnsTable[[#This Row],[Capital Investment]]</f>
        <v>-547500</v>
      </c>
      <c r="E25" s="43">
        <f>IF(1&gt;SaleExitYear,0,INDEX(WaterfallTable[Total Dist B],MATCH(1,WaterfallTable[Year],0)))</f>
        <v>0</v>
      </c>
      <c r="F25" s="43">
        <f>IF(2&gt;SaleExitYear,0,INDEX(WaterfallTable[Total Dist B],MATCH(2,WaterfallTable[Year],0)))</f>
        <v>0</v>
      </c>
      <c r="G25" s="43">
        <f>IF(3&gt;SaleExitYear,0,INDEX(WaterfallTable[Total Dist B],MATCH(3,WaterfallTable[Year],0)))</f>
        <v>314885.44678405975</v>
      </c>
      <c r="H25" s="43">
        <f>IF(4&gt;SaleExitYear,0,INDEX(WaterfallTable[Total Dist B],MATCH(4,WaterfallTable[Year],0)))</f>
        <v>34827.567572470594</v>
      </c>
      <c r="I25" s="43">
        <f>IF(5&gt;SaleExitYear,0,INDEX(WaterfallTable[Total Dist B],MATCH(5,WaterfallTable[Year],0)))</f>
        <v>536141.89005558123</v>
      </c>
      <c r="J25" s="43">
        <f>IF(6&gt;SaleExitYear,0,INDEX(WaterfallTable[Total Dist B],MATCH(6,WaterfallTable[Year],0)))</f>
        <v>0</v>
      </c>
      <c r="K25" s="43">
        <f>IF(7&gt;SaleExitYear,0,INDEX(WaterfallTable[Total Dist B],MATCH(7,WaterfallTable[Year],0)))</f>
        <v>0</v>
      </c>
      <c r="L25" s="43">
        <f>IF(8&gt;SaleExitYear,0,INDEX(WaterfallTable[Total Dist B],MATCH(8,WaterfallTable[Year],0)))</f>
        <v>0</v>
      </c>
      <c r="M25" s="43">
        <f>IF(9&gt;SaleExitYear,0,INDEX(WaterfallTable[Total Dist B],MATCH(9,WaterfallTable[Year],0)))</f>
        <v>0</v>
      </c>
      <c r="N25" s="43">
        <f>IF(10&gt;SaleExitYear,0,INDEX(WaterfallTable[Total Dist B],MATCH(10,WaterfallTable[Year],0)))</f>
        <v>0</v>
      </c>
      <c r="O25" s="43">
        <f>SUM(ReturnsTable[[#This Row],[Initial Capitalization]:[Year 10]])</f>
        <v>338354.90441211156</v>
      </c>
      <c r="P25" s="43">
        <f>ReturnsTable[[#This Row],[Total Profit]]+ReturnsTable[[#This Row],[Capital Investment]]</f>
        <v>885854.9044121115</v>
      </c>
      <c r="Q25" s="44">
        <f>IFERROR(ReturnsTable[[#This Row],[Total Dist]]/ReturnsTable[[#This Row],[Capital Investment]],0)</f>
        <v>1.6179998254102492</v>
      </c>
      <c r="R25" s="54">
        <f>IFERROR(ReturnsTable[[#This Row],[Total Profit]]/ReturnsTable[[#This Row],[Capital Investment]],0)</f>
        <v>0.61799982541024945</v>
      </c>
      <c r="S25" s="60">
        <f>IFERROR(IRR(ReturnsTable[[#This Row],[Initial Capitalization]:[Year 10]]),0)</f>
        <v>0.12146973485163892</v>
      </c>
    </row>
    <row r="26" spans="1:19" x14ac:dyDescent="0.25">
      <c r="A26" s="51" t="s">
        <v>90</v>
      </c>
      <c r="B26" s="45">
        <f>SponsorCapitalInvestment</f>
        <v>136283</v>
      </c>
      <c r="C26" s="45">
        <f>SponsorBasis</f>
        <v>100000</v>
      </c>
      <c r="D26" s="45">
        <f>INDEX(WaterfallTable[Total Dist2],MATCH(0,WaterfallTable[Year],0))-ReturnsTable[[#This Row],[Capital Investment]]</f>
        <v>-36283</v>
      </c>
      <c r="E26" s="45">
        <f>IF(1&gt;SaleExitYear,0,INDEX(WaterfallTable[Total Dist2],MATCH(1,WaterfallTable[Year],0)))</f>
        <v>0</v>
      </c>
      <c r="F26" s="45">
        <f>IF(2&gt;SaleExitYear,0,INDEX(WaterfallTable[Total Dist2],MATCH(2,WaterfallTable[Year],0)))</f>
        <v>0</v>
      </c>
      <c r="G26" s="45">
        <f>IF(3&gt;SaleExitYear,0,INDEX(WaterfallTable[Total Dist2],MATCH(3,WaterfallTable[Year],0)))</f>
        <v>0</v>
      </c>
      <c r="H26" s="45">
        <f>IF(4&gt;SaleExitYear,0,INDEX(WaterfallTable[Total Dist2],MATCH(4,WaterfallTable[Year],0)))</f>
        <v>0</v>
      </c>
      <c r="I26" s="45">
        <f>IF(5&gt;SaleExitYear,0,INDEX(WaterfallTable[Total Dist2],MATCH(5,WaterfallTable[Year],0)))</f>
        <v>523754.85203518625</v>
      </c>
      <c r="J26" s="45">
        <f>IF(6&gt;SaleExitYear,0,INDEX(WaterfallTable[Total Dist2],MATCH(6,WaterfallTable[Year],0)))</f>
        <v>0</v>
      </c>
      <c r="K26" s="45">
        <f>IF(7&gt;SaleExitYear,0,INDEX(WaterfallTable[Total Dist2],MATCH(7,WaterfallTable[Year],0)))</f>
        <v>0</v>
      </c>
      <c r="L26" s="45">
        <f>IF(8&gt;SaleExitYear,0,INDEX(WaterfallTable[Total Dist2],MATCH(8,WaterfallTable[Year],0)))</f>
        <v>0</v>
      </c>
      <c r="M26" s="45">
        <f>IF(9&gt;SaleExitYear,0,INDEX(WaterfallTable[Total Dist2],MATCH(9,WaterfallTable[Year],0)))</f>
        <v>0</v>
      </c>
      <c r="N26" s="45">
        <f>IF(10&gt;SaleExitYear,0,INDEX(WaterfallTable[Total Dist2],MATCH(10,WaterfallTable[Year],0)))</f>
        <v>0</v>
      </c>
      <c r="O26" s="45">
        <f>SUM(ReturnsTable[[#This Row],[Initial Capitalization]:[Year 10]])</f>
        <v>487471.85203518625</v>
      </c>
      <c r="P26" s="45">
        <f>ReturnsTable[[#This Row],[Total Profit]]+ReturnsTable[[#This Row],[Capital Investment]]</f>
        <v>623754.85203518625</v>
      </c>
      <c r="Q26" s="46">
        <f>IFERROR(ReturnsTable[[#This Row],[Total Dist]]/ReturnsTable[[#This Row],[Capital Investment]],0)</f>
        <v>4.5769087269519035</v>
      </c>
      <c r="R26" s="55">
        <f>IFERROR(ReturnsTable[[#This Row],[Total Profit]]/ReturnsTable[[#This Row],[Capital Investment]],0)</f>
        <v>3.5769087269519035</v>
      </c>
      <c r="S26" s="60">
        <f>IFERROR(IRR(ReturnsTable[[#This Row],[Initial Capitalization]:[Year 10]]),0)</f>
        <v>0.7056305810885255</v>
      </c>
    </row>
    <row r="27" spans="1:19" x14ac:dyDescent="0.25">
      <c r="A27" s="52" t="s">
        <v>288</v>
      </c>
      <c r="B27" s="47">
        <f>0</f>
        <v>0</v>
      </c>
      <c r="C27" s="47">
        <f>0</f>
        <v>0</v>
      </c>
      <c r="D27" s="47">
        <f>0</f>
        <v>0</v>
      </c>
      <c r="E27" s="47">
        <f>IF(1&gt;SaleExitYear,0,ManagementFeeRate*INDEX(AnnualModelTable[Occupancy Effective Gross Income],MATCH(1,AnnualModelTable[Year],0)))</f>
        <v>2123.94</v>
      </c>
      <c r="F27" s="47">
        <f>IF(2&gt;SaleExitYear,0,ManagementFeeRate*INDEX(AnnualModelTable[Occupancy Effective Gross Income],MATCH(2,AnnualModelTable[Year],0)))</f>
        <v>6737.5152000000007</v>
      </c>
      <c r="G27" s="47">
        <f>IF(3&gt;SaleExitYear,0,ManagementFeeRate*INDEX(AnnualModelTable[Occupancy Effective Gross Income],MATCH(3,AnnualModelTable[Year],0)))</f>
        <v>10213.632000000001</v>
      </c>
      <c r="H27" s="47">
        <f>IF(4&gt;SaleExitYear,0,ManagementFeeRate*INDEX(AnnualModelTable[Occupancy Effective Gross Income],MATCH(4,AnnualModelTable[Year],0)))</f>
        <v>10213.632000000001</v>
      </c>
      <c r="I27" s="47">
        <f>IF(5&gt;SaleExitYear,0,ManagementFeeRate*INDEX(AnnualModelTable[Occupancy Effective Gross Income],MATCH(5,AnnualModelTable[Year],0)))</f>
        <v>10213.632000000001</v>
      </c>
      <c r="J27" s="47">
        <f>IF(6&gt;SaleExitYear,0,ManagementFeeRate*INDEX(AnnualModelTable[Occupancy Effective Gross Income],MATCH(6,AnnualModelTable[Year],0)))</f>
        <v>0</v>
      </c>
      <c r="K27" s="47">
        <f>IF(7&gt;SaleExitYear,0,ManagementFeeRate*INDEX(AnnualModelTable[Occupancy Effective Gross Income],MATCH(7,AnnualModelTable[Year],0)))</f>
        <v>0</v>
      </c>
      <c r="L27" s="47">
        <f>IF(8&gt;SaleExitYear,0,ManagementFeeRate*INDEX(AnnualModelTable[Occupancy Effective Gross Income],MATCH(8,AnnualModelTable[Year],0)))</f>
        <v>0</v>
      </c>
      <c r="M27" s="47">
        <f>IF(9&gt;SaleExitYear,0,ManagementFeeRate*INDEX(AnnualModelTable[Occupancy Effective Gross Income],MATCH(9,AnnualModelTable[Year],0)))</f>
        <v>0</v>
      </c>
      <c r="N27" s="47">
        <f>IF(10&gt;SaleExitYear,0,ManagementFeeRate*INDEX(AnnualModelTable[Occupancy Effective Gross Income],MATCH(10,AnnualModelTable[Year],0)))</f>
        <v>0</v>
      </c>
      <c r="O27" s="47">
        <f>SUM(ReturnsTable[[#This Row],[Initial Capitalization]:[Year 10]])</f>
        <v>39502.351200000005</v>
      </c>
      <c r="P27" s="47">
        <f>ReturnsTable[[#This Row],[Total Profit]]</f>
        <v>39502.351200000005</v>
      </c>
      <c r="Q27" s="48">
        <f>0</f>
        <v>0</v>
      </c>
      <c r="R27" s="56">
        <f>0</f>
        <v>0</v>
      </c>
      <c r="S27" s="60">
        <f>0</f>
        <v>0</v>
      </c>
    </row>
    <row r="31" spans="1:19" ht="15.75" thickBot="1" x14ac:dyDescent="0.3"/>
    <row r="32" spans="1:19" ht="15.75" x14ac:dyDescent="0.25">
      <c r="A32" s="138" t="s">
        <v>380</v>
      </c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40"/>
    </row>
    <row r="33" spans="1:28" x14ac:dyDescent="0.25">
      <c r="A33" s="141" t="s">
        <v>381</v>
      </c>
      <c r="B33" s="142"/>
      <c r="C33" s="142"/>
      <c r="D33" s="80" t="s">
        <v>70</v>
      </c>
      <c r="E33" s="105" t="s">
        <v>382</v>
      </c>
      <c r="F33" s="142"/>
      <c r="G33" s="142"/>
      <c r="H33" s="142"/>
      <c r="I33" s="106"/>
      <c r="J33" s="80" t="s">
        <v>298</v>
      </c>
      <c r="K33" s="80" t="s">
        <v>75</v>
      </c>
      <c r="L33" s="80" t="s">
        <v>378</v>
      </c>
      <c r="M33" s="105" t="s">
        <v>72</v>
      </c>
      <c r="N33" s="143"/>
    </row>
    <row r="34" spans="1:28" x14ac:dyDescent="0.25">
      <c r="A34" s="144" t="s">
        <v>332</v>
      </c>
      <c r="B34" s="145"/>
      <c r="C34" s="121"/>
      <c r="D34" s="122" t="s">
        <v>88</v>
      </c>
      <c r="E34" s="120" t="s">
        <v>383</v>
      </c>
      <c r="F34" s="145"/>
      <c r="G34" s="145"/>
      <c r="H34" s="145"/>
      <c r="I34" s="145"/>
      <c r="J34" s="123">
        <v>219799.48570431559</v>
      </c>
      <c r="K34" s="124">
        <v>0.73266495234771867</v>
      </c>
      <c r="L34" s="124">
        <v>0.1634264838474333</v>
      </c>
      <c r="M34" s="125">
        <v>519799.48570431559</v>
      </c>
      <c r="N34" s="146"/>
    </row>
    <row r="35" spans="1:28" x14ac:dyDescent="0.25">
      <c r="A35" s="144" t="s">
        <v>332</v>
      </c>
      <c r="B35" s="145"/>
      <c r="C35" s="121"/>
      <c r="D35" s="122" t="s">
        <v>89</v>
      </c>
      <c r="E35" s="120" t="s">
        <v>384</v>
      </c>
      <c r="F35" s="145"/>
      <c r="G35" s="145"/>
      <c r="H35" s="145"/>
      <c r="I35" s="145"/>
      <c r="J35" s="123">
        <v>234783.08283288495</v>
      </c>
      <c r="K35" s="124">
        <v>0.42882754855321453</v>
      </c>
      <c r="L35" s="124">
        <v>8.9826902125470953E-2</v>
      </c>
      <c r="M35" s="125">
        <v>782283.08283288497</v>
      </c>
      <c r="N35" s="146"/>
    </row>
    <row r="36" spans="1:28" x14ac:dyDescent="0.25">
      <c r="A36" s="144" t="s">
        <v>332</v>
      </c>
      <c r="B36" s="145"/>
      <c r="C36" s="121"/>
      <c r="D36" s="122" t="s">
        <v>90</v>
      </c>
      <c r="E36" s="120" t="s">
        <v>385</v>
      </c>
      <c r="F36" s="145"/>
      <c r="G36" s="145"/>
      <c r="H36" s="145"/>
      <c r="I36" s="145"/>
      <c r="J36" s="123">
        <v>327148.34739884926</v>
      </c>
      <c r="K36" s="124">
        <v>2.4005073809561668</v>
      </c>
      <c r="L36" s="124">
        <v>0.58541819876459078</v>
      </c>
      <c r="M36" s="125">
        <v>463431.34739884926</v>
      </c>
      <c r="N36" s="146"/>
    </row>
    <row r="37" spans="1:28" x14ac:dyDescent="0.25">
      <c r="A37" s="147" t="s">
        <v>379</v>
      </c>
      <c r="B37" s="148"/>
      <c r="C37" s="127"/>
      <c r="D37" s="128" t="s">
        <v>88</v>
      </c>
      <c r="E37" s="126" t="s">
        <v>386</v>
      </c>
      <c r="F37" s="148"/>
      <c r="G37" s="148"/>
      <c r="H37" s="148"/>
      <c r="I37" s="148"/>
      <c r="J37" s="129">
        <v>264666.01012491627</v>
      </c>
      <c r="K37" s="130">
        <v>0.88222003374972091</v>
      </c>
      <c r="L37" s="130">
        <v>0.18498025525507211</v>
      </c>
      <c r="M37" s="131">
        <v>564666.01012491621</v>
      </c>
      <c r="N37" s="149"/>
      <c r="V37"/>
      <c r="W37"/>
      <c r="X37"/>
      <c r="Y37"/>
      <c r="Z37"/>
      <c r="AA37"/>
      <c r="AB37"/>
    </row>
    <row r="38" spans="1:28" x14ac:dyDescent="0.25">
      <c r="A38" s="147" t="s">
        <v>379</v>
      </c>
      <c r="B38" s="148"/>
      <c r="C38" s="127"/>
      <c r="D38" s="128" t="s">
        <v>89</v>
      </c>
      <c r="E38" s="126" t="s">
        <v>387</v>
      </c>
      <c r="F38" s="148"/>
      <c r="G38" s="148"/>
      <c r="H38" s="148"/>
      <c r="I38" s="148"/>
      <c r="J38" s="129">
        <v>316186.60410725744</v>
      </c>
      <c r="K38" s="130">
        <v>0.57750977919133784</v>
      </c>
      <c r="L38" s="130">
        <v>0.11563386411139498</v>
      </c>
      <c r="M38" s="131">
        <v>863686.60410725744</v>
      </c>
      <c r="N38" s="149"/>
      <c r="V38"/>
      <c r="W38"/>
      <c r="X38"/>
      <c r="Y38"/>
      <c r="Z38"/>
      <c r="AA38"/>
      <c r="AB38"/>
    </row>
    <row r="39" spans="1:28" x14ac:dyDescent="0.25">
      <c r="A39" s="147" t="s">
        <v>379</v>
      </c>
      <c r="B39" s="148"/>
      <c r="C39" s="127"/>
      <c r="D39" s="128" t="s">
        <v>90</v>
      </c>
      <c r="E39" s="126" t="s">
        <v>388</v>
      </c>
      <c r="F39" s="148"/>
      <c r="G39" s="148"/>
      <c r="H39" s="148"/>
      <c r="I39" s="148"/>
      <c r="J39" s="129">
        <v>453156.53786465875</v>
      </c>
      <c r="K39" s="130">
        <v>3.3251141952015932</v>
      </c>
      <c r="L39" s="130">
        <v>0.68267085359075441</v>
      </c>
      <c r="M39" s="131">
        <v>589439.53786465875</v>
      </c>
      <c r="N39" s="149"/>
      <c r="V39"/>
      <c r="W39"/>
      <c r="X39"/>
      <c r="Y39"/>
      <c r="Z39"/>
      <c r="AA39"/>
      <c r="AB39"/>
    </row>
    <row r="40" spans="1:28" x14ac:dyDescent="0.25">
      <c r="A40" s="150" t="s">
        <v>335</v>
      </c>
      <c r="B40" s="151"/>
      <c r="C40" s="133"/>
      <c r="D40" s="134" t="s">
        <v>88</v>
      </c>
      <c r="E40" s="132" t="s">
        <v>389</v>
      </c>
      <c r="F40" s="151"/>
      <c r="G40" s="151"/>
      <c r="H40" s="151"/>
      <c r="I40" s="151"/>
      <c r="J40" s="135">
        <v>278057.43248614768</v>
      </c>
      <c r="K40" s="136">
        <v>0.92685810828715898</v>
      </c>
      <c r="L40" s="136">
        <v>0.18919673669698978</v>
      </c>
      <c r="M40" s="137">
        <v>578057.43248614762</v>
      </c>
      <c r="N40" s="152"/>
      <c r="V40"/>
      <c r="W40"/>
      <c r="X40"/>
      <c r="Y40"/>
      <c r="Z40"/>
      <c r="AA40"/>
      <c r="AB40"/>
    </row>
    <row r="41" spans="1:28" x14ac:dyDescent="0.25">
      <c r="A41" s="150" t="s">
        <v>335</v>
      </c>
      <c r="B41" s="151"/>
      <c r="C41" s="133"/>
      <c r="D41" s="134" t="s">
        <v>89</v>
      </c>
      <c r="E41" s="132" t="s">
        <v>390</v>
      </c>
      <c r="F41" s="151"/>
      <c r="G41" s="151"/>
      <c r="H41" s="151"/>
      <c r="I41" s="151"/>
      <c r="J41" s="135">
        <v>338354.90441211156</v>
      </c>
      <c r="K41" s="136">
        <v>0.61799982541024945</v>
      </c>
      <c r="L41" s="136">
        <v>0.12146973485163892</v>
      </c>
      <c r="M41" s="137">
        <v>885854.9044121115</v>
      </c>
      <c r="N41" s="152"/>
      <c r="V41"/>
      <c r="W41"/>
      <c r="X41"/>
      <c r="Y41"/>
      <c r="Z41"/>
      <c r="AA41"/>
      <c r="AB41"/>
    </row>
    <row r="42" spans="1:28" ht="15.75" thickBot="1" x14ac:dyDescent="0.3">
      <c r="A42" s="153" t="s">
        <v>335</v>
      </c>
      <c r="B42" s="154"/>
      <c r="C42" s="155"/>
      <c r="D42" s="156" t="s">
        <v>90</v>
      </c>
      <c r="E42" s="157" t="s">
        <v>391</v>
      </c>
      <c r="F42" s="154"/>
      <c r="G42" s="154"/>
      <c r="H42" s="154"/>
      <c r="I42" s="154"/>
      <c r="J42" s="158">
        <v>487471.85203518625</v>
      </c>
      <c r="K42" s="159">
        <v>3.5769087269519035</v>
      </c>
      <c r="L42" s="159">
        <v>0.7056305810885255</v>
      </c>
      <c r="M42" s="160">
        <v>623754.85203518625</v>
      </c>
      <c r="N42" s="161"/>
      <c r="V42"/>
      <c r="W42"/>
      <c r="X42"/>
      <c r="Y42"/>
      <c r="Z42"/>
      <c r="AA42"/>
      <c r="AB42"/>
    </row>
    <row r="43" spans="1:28" x14ac:dyDescent="0.25">
      <c r="V43"/>
      <c r="W43"/>
      <c r="X43"/>
      <c r="Y43"/>
      <c r="Z43"/>
      <c r="AA43"/>
      <c r="AB43"/>
    </row>
  </sheetData>
  <mergeCells count="43">
    <mergeCell ref="J2:M2"/>
    <mergeCell ref="N2:P2"/>
    <mergeCell ref="C2:I2"/>
    <mergeCell ref="B17:D17"/>
    <mergeCell ref="E17:L17"/>
    <mergeCell ref="A2:B2"/>
    <mergeCell ref="A32:N32"/>
    <mergeCell ref="B20:D20"/>
    <mergeCell ref="B18:D18"/>
    <mergeCell ref="B19:D19"/>
    <mergeCell ref="E19:L19"/>
    <mergeCell ref="E18:L18"/>
    <mergeCell ref="E20:L20"/>
    <mergeCell ref="E33:I33"/>
    <mergeCell ref="A37:C37"/>
    <mergeCell ref="A38:C38"/>
    <mergeCell ref="A39:C39"/>
    <mergeCell ref="A40:C40"/>
    <mergeCell ref="A33:C33"/>
    <mergeCell ref="A34:C34"/>
    <mergeCell ref="A35:C35"/>
    <mergeCell ref="A36:C36"/>
    <mergeCell ref="A42:C42"/>
    <mergeCell ref="E34:I34"/>
    <mergeCell ref="E35:I35"/>
    <mergeCell ref="E36:I36"/>
    <mergeCell ref="E37:I37"/>
    <mergeCell ref="E38:I38"/>
    <mergeCell ref="E39:I39"/>
    <mergeCell ref="E40:I40"/>
    <mergeCell ref="E41:I41"/>
    <mergeCell ref="E42:I42"/>
    <mergeCell ref="A41:C41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0</xdr:colOff>
                    <xdr:row>3</xdr:row>
                    <xdr:rowOff>152400</xdr:rowOff>
                  </from>
                  <to>
                    <xdr:col>18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0</xdr:colOff>
                    <xdr:row>3</xdr:row>
                    <xdr:rowOff>152400</xdr:rowOff>
                  </from>
                  <to>
                    <xdr:col>19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276225</xdr:colOff>
                    <xdr:row>3</xdr:row>
                    <xdr:rowOff>190500</xdr:rowOff>
                  </from>
                  <to>
                    <xdr:col>17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276225</xdr:colOff>
                    <xdr:row>3</xdr:row>
                    <xdr:rowOff>190500</xdr:rowOff>
                  </from>
                  <to>
                    <xdr:col>18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276225</xdr:colOff>
                    <xdr:row>4</xdr:row>
                    <xdr:rowOff>190500</xdr:rowOff>
                  </from>
                  <to>
                    <xdr:col>17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276225</xdr:colOff>
                    <xdr:row>4</xdr:row>
                    <xdr:rowOff>190500</xdr:rowOff>
                  </from>
                  <to>
                    <xdr:col>18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276225</xdr:colOff>
                    <xdr:row>5</xdr:row>
                    <xdr:rowOff>190500</xdr:rowOff>
                  </from>
                  <to>
                    <xdr:col>17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276225</xdr:colOff>
                    <xdr:row>5</xdr:row>
                    <xdr:rowOff>190500</xdr:rowOff>
                  </from>
                  <to>
                    <xdr:col>18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276225</xdr:colOff>
                    <xdr:row>6</xdr:row>
                    <xdr:rowOff>180975</xdr:rowOff>
                  </from>
                  <to>
                    <xdr:col>17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276225</xdr:colOff>
                    <xdr:row>6</xdr:row>
                    <xdr:rowOff>180975</xdr:rowOff>
                  </from>
                  <to>
                    <xdr:col>18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276225</xdr:colOff>
                    <xdr:row>7</xdr:row>
                    <xdr:rowOff>180975</xdr:rowOff>
                  </from>
                  <to>
                    <xdr:col>17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276225</xdr:colOff>
                    <xdr:row>7</xdr:row>
                    <xdr:rowOff>180975</xdr:rowOff>
                  </from>
                  <to>
                    <xdr:col>18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276225</xdr:colOff>
                    <xdr:row>8</xdr:row>
                    <xdr:rowOff>180975</xdr:rowOff>
                  </from>
                  <to>
                    <xdr:col>17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276225</xdr:colOff>
                    <xdr:row>8</xdr:row>
                    <xdr:rowOff>180975</xdr:rowOff>
                  </from>
                  <to>
                    <xdr:col>18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276225</xdr:colOff>
                    <xdr:row>9</xdr:row>
                    <xdr:rowOff>180975</xdr:rowOff>
                  </from>
                  <to>
                    <xdr:col>17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276225</xdr:colOff>
                    <xdr:row>9</xdr:row>
                    <xdr:rowOff>180975</xdr:rowOff>
                  </from>
                  <to>
                    <xdr:col>18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276225</xdr:colOff>
                    <xdr:row>10</xdr:row>
                    <xdr:rowOff>180975</xdr:rowOff>
                  </from>
                  <to>
                    <xdr:col>17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276225</xdr:colOff>
                    <xdr:row>10</xdr:row>
                    <xdr:rowOff>180975</xdr:rowOff>
                  </from>
                  <to>
                    <xdr:col>18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276225</xdr:colOff>
                    <xdr:row>11</xdr:row>
                    <xdr:rowOff>180975</xdr:rowOff>
                  </from>
                  <to>
                    <xdr:col>17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276225</xdr:colOff>
                    <xdr:row>11</xdr:row>
                    <xdr:rowOff>180975</xdr:rowOff>
                  </from>
                  <to>
                    <xdr:col>18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276225</xdr:colOff>
                    <xdr:row>12</xdr:row>
                    <xdr:rowOff>180975</xdr:rowOff>
                  </from>
                  <to>
                    <xdr:col>17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276225</xdr:colOff>
                    <xdr:row>12</xdr:row>
                    <xdr:rowOff>180975</xdr:rowOff>
                  </from>
                  <to>
                    <xdr:col>18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6" name="WfSTR_Group">
              <controlPr defaultSize="0" autoPict="0">
                <anchor moveWithCells="1">
                  <from>
                    <xdr:col>0</xdr:col>
                    <xdr:colOff>0</xdr:colOff>
                    <xdr:row>15</xdr:row>
                    <xdr:rowOff>152400</xdr:rowOff>
                  </from>
                  <to>
                    <xdr:col>1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7" name="WfSTR_Opt_1">
              <controlPr defaultSize="0" autoFill="0" autoLine="0" autoPict="0">
                <anchor moveWithCells="1">
                  <from>
                    <xdr:col>0</xdr:col>
                    <xdr:colOff>285750</xdr:colOff>
                    <xdr:row>16</xdr:row>
                    <xdr:rowOff>180975</xdr:rowOff>
                  </from>
                  <to>
                    <xdr:col>0</xdr:col>
                    <xdr:colOff>590550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8" name="WfSTR_Opt_2">
              <controlPr defaultSize="0" autoFill="0" autoLine="0" autoPict="0">
                <anchor moveWithCells="1">
                  <from>
                    <xdr:col>0</xdr:col>
                    <xdr:colOff>285750</xdr:colOff>
                    <xdr:row>17</xdr:row>
                    <xdr:rowOff>180975</xdr:rowOff>
                  </from>
                  <to>
                    <xdr:col>0</xdr:col>
                    <xdr:colOff>590550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9" name="WfSTR_Opt_3">
              <controlPr defaultSize="0" autoFill="0" autoLine="0" autoPict="0">
                <anchor moveWithCells="1">
                  <from>
                    <xdr:col>0</xdr:col>
                    <xdr:colOff>285750</xdr:colOff>
                    <xdr:row>18</xdr:row>
                    <xdr:rowOff>180975</xdr:rowOff>
                  </from>
                  <to>
                    <xdr:col>0</xdr:col>
                    <xdr:colOff>590550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04" t="s">
        <v>270</v>
      </c>
      <c r="B1" s="102"/>
      <c r="C1" s="102"/>
      <c r="D1" s="102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INDEX(Waterfall!$I$4:$I$14,MATCH(1,Waterfall!$A$4:$A$14,0))</f>
        <v>0</v>
      </c>
      <c r="J4" s="13">
        <f>INDEX(Waterfall!$I$4:$I$14,MATCH(2,Waterfall!$A$4:$A$14,0))</f>
        <v>41781.439211589022</v>
      </c>
      <c r="K4" s="13">
        <f>INDEX(Waterfall!$I$4:$I$14,MATCH(3,Waterfall!$A$4:$A$14,0))</f>
        <v>258218.56078841098</v>
      </c>
      <c r="L4" s="13">
        <f>INDEX(Waterfall!$I$4:$I$14,MATCH(4,Waterfall!$A$4:$A$14,0))</f>
        <v>0</v>
      </c>
      <c r="M4" s="13">
        <f>INDEX(Waterfall!$I$4:$I$14,MATCH(5,Waterfall!$A$4:$A$14,0))</f>
        <v>278057.43248614768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314885.44678405975</v>
      </c>
      <c r="L5" s="13">
        <f>INDEX(Waterfall!$M$4:$M$14,MATCH(4,Waterfall!$A$4:$A$14,0))</f>
        <v>34827.567572470594</v>
      </c>
      <c r="M5" s="13">
        <f>INDEX(Waterfall!$M$4:$M$14,MATCH(5,Waterfall!$A$4:$A$14,0))</f>
        <v>536141.89005558123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523754.85203518625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101" t="s">
        <v>266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19" t="s">
        <v>104</v>
      </c>
      <c r="C2" s="102"/>
      <c r="D2" s="102"/>
    </row>
    <row r="3" spans="1:10" x14ac:dyDescent="0.25">
      <c r="A3" s="13" t="s">
        <v>105</v>
      </c>
      <c r="B3" s="119" t="s">
        <v>106</v>
      </c>
      <c r="C3" s="102"/>
      <c r="D3" s="102"/>
      <c r="E3" s="102"/>
      <c r="F3" s="102"/>
      <c r="G3" s="102"/>
      <c r="H3" s="102"/>
      <c r="I3" s="102"/>
    </row>
    <row r="4" spans="1:10" x14ac:dyDescent="0.25">
      <c r="A4" s="13"/>
      <c r="B4" s="13"/>
      <c r="C4" s="119"/>
      <c r="D4" s="82"/>
      <c r="E4" s="82"/>
      <c r="F4" s="82"/>
      <c r="H4" s="13"/>
    </row>
    <row r="5" spans="1:10" ht="15.75" thickBot="1" x14ac:dyDescent="0.3">
      <c r="A5" s="13"/>
      <c r="B5" s="13"/>
      <c r="C5" s="119"/>
      <c r="D5" s="82"/>
      <c r="E5" s="82"/>
      <c r="F5" s="82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102" t="s">
        <v>160</v>
      </c>
      <c r="C62" s="102"/>
      <c r="D62" s="102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102" t="s">
        <v>164</v>
      </c>
      <c r="D66" s="102"/>
      <c r="E66" s="102"/>
      <c r="F66" s="102"/>
      <c r="G66" s="102"/>
    </row>
    <row r="67" spans="1:7" x14ac:dyDescent="0.25">
      <c r="A67" s="6" t="s">
        <v>165</v>
      </c>
      <c r="B67" s="6" t="s">
        <v>163</v>
      </c>
      <c r="C67" s="102" t="s">
        <v>164</v>
      </c>
      <c r="D67" s="102"/>
      <c r="E67" s="102"/>
      <c r="F67" s="102"/>
      <c r="G67" s="102"/>
    </row>
    <row r="68" spans="1:7" x14ac:dyDescent="0.25">
      <c r="A68" s="6" t="s">
        <v>166</v>
      </c>
      <c r="B68" s="6" t="s">
        <v>163</v>
      </c>
      <c r="C68" s="102" t="s">
        <v>164</v>
      </c>
      <c r="D68" s="102"/>
      <c r="E68" s="102"/>
      <c r="F68" s="102"/>
      <c r="G68" s="102"/>
    </row>
    <row r="69" spans="1:7" x14ac:dyDescent="0.25">
      <c r="A69" s="6" t="s">
        <v>167</v>
      </c>
      <c r="B69" s="6" t="s">
        <v>163</v>
      </c>
      <c r="C69" s="102" t="s">
        <v>164</v>
      </c>
      <c r="D69" s="102"/>
      <c r="E69" s="102"/>
      <c r="F69" s="102"/>
      <c r="G69" s="102"/>
    </row>
    <row r="70" spans="1:7" x14ac:dyDescent="0.25">
      <c r="A70" s="6" t="s">
        <v>168</v>
      </c>
      <c r="B70" s="6" t="s">
        <v>169</v>
      </c>
      <c r="C70" s="102" t="s">
        <v>170</v>
      </c>
      <c r="D70" s="102"/>
      <c r="E70" s="102"/>
      <c r="F70" s="102"/>
      <c r="G70" s="102"/>
    </row>
    <row r="71" spans="1:7" x14ac:dyDescent="0.25">
      <c r="A71" s="6" t="s">
        <v>171</v>
      </c>
      <c r="B71" s="6" t="s">
        <v>163</v>
      </c>
      <c r="C71" s="102" t="s">
        <v>172</v>
      </c>
      <c r="D71" s="102"/>
      <c r="E71" s="102"/>
      <c r="F71" s="102"/>
      <c r="G71" s="102"/>
    </row>
    <row r="72" spans="1:7" x14ac:dyDescent="0.25">
      <c r="A72" s="6" t="s">
        <v>173</v>
      </c>
      <c r="B72" s="6" t="s">
        <v>163</v>
      </c>
      <c r="C72" s="102" t="s">
        <v>174</v>
      </c>
      <c r="D72" s="102"/>
      <c r="E72" s="102"/>
      <c r="F72" s="102"/>
      <c r="G72" s="102"/>
    </row>
    <row r="73" spans="1:7" x14ac:dyDescent="0.25">
      <c r="A73" s="6" t="s">
        <v>175</v>
      </c>
      <c r="B73" s="6" t="s">
        <v>163</v>
      </c>
      <c r="C73" s="102" t="s">
        <v>176</v>
      </c>
      <c r="D73" s="102"/>
      <c r="E73" s="102"/>
      <c r="F73" s="102"/>
      <c r="G73" s="102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102" t="s">
        <v>179</v>
      </c>
      <c r="D76" s="102"/>
      <c r="E76" s="102"/>
      <c r="F76" s="102"/>
      <c r="G76" s="102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102" t="s">
        <v>185</v>
      </c>
      <c r="D81" s="102"/>
      <c r="E81" s="102"/>
      <c r="F81" s="102"/>
      <c r="G81" s="102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2026-05-18T07:52:46Z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