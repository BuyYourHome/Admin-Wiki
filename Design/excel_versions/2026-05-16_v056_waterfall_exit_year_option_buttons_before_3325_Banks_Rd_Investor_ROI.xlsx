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356" documentId="13_ncr:1_{0C20EBD6-E2BD-404C-B47C-BDA54182D35E}" xr6:coauthVersionLast="47" xr6:coauthVersionMax="47" xr10:uidLastSave="{D5E60860-0582-4B8C-B4AA-62E9F1F56D93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3" l="1"/>
  <c r="R22" i="3"/>
  <c r="Q22" i="3"/>
  <c r="D22" i="3"/>
  <c r="C22" i="3"/>
  <c r="C21" i="3"/>
  <c r="C19" i="3"/>
  <c r="B22" i="3"/>
  <c r="B21" i="3"/>
  <c r="B19" i="3"/>
  <c r="D19" i="3" s="1"/>
  <c r="B5" i="1"/>
  <c r="I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N22" i="3" l="1"/>
  <c r="N21" i="3"/>
  <c r="N20" i="3"/>
  <c r="N19" i="3"/>
  <c r="M22" i="3"/>
  <c r="M21" i="3"/>
  <c r="M20" i="3"/>
  <c r="M19" i="3"/>
  <c r="L21" i="3"/>
  <c r="L22" i="3"/>
  <c r="L19" i="3"/>
  <c r="L20" i="3"/>
  <c r="K22" i="3"/>
  <c r="K21" i="3"/>
  <c r="K20" i="3"/>
  <c r="K19" i="3"/>
  <c r="J22" i="3"/>
  <c r="J21" i="3"/>
  <c r="J20" i="3"/>
  <c r="J19" i="3"/>
  <c r="I22" i="3"/>
  <c r="I21" i="3"/>
  <c r="I20" i="3"/>
  <c r="G4" i="3"/>
  <c r="M14" i="2"/>
  <c r="N9" i="3"/>
  <c r="C14" i="2"/>
  <c r="D14" i="2" s="1"/>
  <c r="N10" i="3"/>
  <c r="N12" i="3"/>
  <c r="D4" i="2"/>
  <c r="N7" i="3"/>
  <c r="C5" i="2"/>
  <c r="D5" i="2" s="1"/>
  <c r="E22" i="3" s="1"/>
  <c r="C13" i="2"/>
  <c r="D13" i="2" s="1"/>
  <c r="C6" i="2"/>
  <c r="D6" i="2" s="1"/>
  <c r="F22" i="3" s="1"/>
  <c r="C12" i="2"/>
  <c r="D12" i="2" s="1"/>
  <c r="I13" i="2"/>
  <c r="L4" i="3"/>
  <c r="C4" i="2"/>
  <c r="N4" i="2"/>
  <c r="C8" i="2"/>
  <c r="D8" i="2" s="1"/>
  <c r="H22" i="3" s="1"/>
  <c r="C11" i="2"/>
  <c r="D11" i="2" s="1"/>
  <c r="D4" i="3"/>
  <c r="G4" i="2"/>
  <c r="I7" i="2"/>
  <c r="O4" i="3"/>
  <c r="M4" i="2"/>
  <c r="N5" i="3"/>
  <c r="C10" i="2"/>
  <c r="D10" i="2" s="1"/>
  <c r="F4" i="3"/>
  <c r="C4" i="3" s="1"/>
  <c r="N6" i="3"/>
  <c r="I5" i="2"/>
  <c r="H4" i="3"/>
  <c r="N8" i="3"/>
  <c r="N14" i="3"/>
  <c r="C9" i="2"/>
  <c r="D9" i="2" s="1"/>
  <c r="I4" i="2"/>
  <c r="K4" i="3"/>
  <c r="N13" i="3"/>
  <c r="I12" i="2"/>
  <c r="M5" i="2"/>
  <c r="N5" i="2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O22" i="3" l="1"/>
  <c r="P22" i="3" s="1"/>
  <c r="E4" i="3"/>
  <c r="M4" i="3"/>
  <c r="I4" i="3"/>
  <c r="P4" i="3"/>
  <c r="D21" i="3" s="1"/>
  <c r="F5" i="3"/>
  <c r="C5" i="3" s="1"/>
  <c r="B17" i="1"/>
  <c r="G10" i="6"/>
  <c r="B29" i="6" s="1"/>
  <c r="K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E12" i="2"/>
  <c r="F12" i="2" s="1"/>
  <c r="E13" i="2"/>
  <c r="F13" i="2" s="1"/>
  <c r="E14" i="2"/>
  <c r="F14" i="2" s="1"/>
  <c r="N11" i="2"/>
  <c r="I11" i="2" s="1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3" i="2" l="1"/>
  <c r="G14" i="2"/>
  <c r="H14" i="2" s="1"/>
  <c r="M11" i="2"/>
  <c r="M12" i="2"/>
  <c r="G12" i="2"/>
  <c r="H12" i="2" s="1"/>
  <c r="M13" i="2"/>
  <c r="H13" i="2"/>
  <c r="N13" i="2"/>
  <c r="N14" i="2"/>
  <c r="I14" i="2" s="1"/>
  <c r="N12" i="2"/>
  <c r="G11" i="2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G6" i="2"/>
  <c r="H6" i="2" s="1"/>
  <c r="G7" i="2"/>
  <c r="H7" i="2" s="1"/>
  <c r="G8" i="2"/>
  <c r="H8" i="2" s="1"/>
  <c r="F4" i="2"/>
  <c r="B31" i="1"/>
  <c r="B32" i="1"/>
  <c r="I8" i="2" l="1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E21" i="3" s="1"/>
  <c r="J6" i="3"/>
  <c r="L5" i="3"/>
  <c r="M5" i="3" s="1"/>
  <c r="E20" i="3" s="1"/>
  <c r="H5" i="3"/>
  <c r="I6" i="4" l="1"/>
  <c r="I5" i="4"/>
  <c r="I5" i="3"/>
  <c r="E19" i="3" s="1"/>
  <c r="K5" i="2" l="1"/>
  <c r="L5" i="2" s="1"/>
  <c r="J6" i="2" s="1"/>
  <c r="B6" i="3" s="1"/>
  <c r="D6" i="3" s="1"/>
  <c r="I4" i="4"/>
  <c r="E6" i="3" l="1"/>
  <c r="G6" i="3"/>
  <c r="F7" i="3" l="1"/>
  <c r="K6" i="3"/>
  <c r="C7" i="3" l="1"/>
  <c r="O6" i="3"/>
  <c r="P6" i="3" s="1"/>
  <c r="F21" i="3" s="1"/>
  <c r="J7" i="3"/>
  <c r="L6" i="3"/>
  <c r="M6" i="3" s="1"/>
  <c r="F20" i="3" s="1"/>
  <c r="H6" i="3"/>
  <c r="I6" i="3" s="1"/>
  <c r="F19" i="3" s="1"/>
  <c r="J6" i="4" l="1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G19" i="3" s="1"/>
  <c r="O7" i="3"/>
  <c r="P7" i="3" s="1"/>
  <c r="G21" i="3" s="1"/>
  <c r="L7" i="3"/>
  <c r="M7" i="3" s="1"/>
  <c r="G20" i="3" s="1"/>
  <c r="K4" i="4" l="1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H21" i="3" s="1"/>
  <c r="J9" i="3"/>
  <c r="H8" i="3"/>
  <c r="I8" i="3" s="1"/>
  <c r="H19" i="3" s="1"/>
  <c r="L8" i="3"/>
  <c r="M8" i="3" s="1"/>
  <c r="H20" i="3" s="1"/>
  <c r="O19" i="3" l="1"/>
  <c r="S19" i="3"/>
  <c r="O20" i="3"/>
  <c r="P20" i="3" s="1"/>
  <c r="Q20" i="3" s="1"/>
  <c r="S20" i="3"/>
  <c r="O21" i="3"/>
  <c r="P21" i="3" s="1"/>
  <c r="Q21" i="3" s="1"/>
  <c r="S21" i="3"/>
  <c r="P19" i="3"/>
  <c r="Q19" i="3" s="1"/>
  <c r="R19" i="3"/>
  <c r="L6" i="4"/>
  <c r="L4" i="4"/>
  <c r="K8" i="2"/>
  <c r="L8" i="2" s="1"/>
  <c r="J9" i="2" s="1"/>
  <c r="L5" i="4"/>
  <c r="R20" i="3" l="1"/>
  <c r="R21" i="3"/>
  <c r="B9" i="3"/>
  <c r="D9" i="3" l="1"/>
  <c r="E9" i="3" l="1"/>
  <c r="G9" i="3"/>
  <c r="F10" i="3" s="1"/>
  <c r="C10" i="3" l="1"/>
  <c r="K9" i="3"/>
  <c r="L9" i="3" l="1"/>
  <c r="M9" i="3" s="1"/>
  <c r="J10" i="3"/>
  <c r="O9" i="3"/>
  <c r="P9" i="3" s="1"/>
  <c r="H9" i="3"/>
  <c r="I9" i="3" s="1"/>
  <c r="K9" i="2" l="1"/>
  <c r="L9" i="2" s="1"/>
  <c r="J10" i="2" s="1"/>
  <c r="M4" i="4"/>
  <c r="M6" i="4"/>
  <c r="M5" i="4"/>
  <c r="B10" i="3" l="1"/>
  <c r="D10" i="3" l="1"/>
  <c r="E10" i="3" l="1"/>
  <c r="G10" i="3"/>
  <c r="K10" i="3" l="1"/>
  <c r="H10" i="3" s="1"/>
  <c r="I10" i="3" s="1"/>
  <c r="F11" i="3"/>
  <c r="C11" i="3" l="1"/>
  <c r="O10" i="3"/>
  <c r="P10" i="3" s="1"/>
  <c r="L10" i="3"/>
  <c r="M10" i="3" s="1"/>
  <c r="J11" i="3"/>
  <c r="N4" i="4"/>
  <c r="N6" i="4" l="1"/>
  <c r="N5" i="4"/>
  <c r="K10" i="2"/>
  <c r="L10" i="2" s="1"/>
  <c r="J11" i="2" s="1"/>
  <c r="B11" i="3" s="1"/>
  <c r="D11" i="3" l="1"/>
  <c r="E11" i="3" l="1"/>
  <c r="G11" i="3"/>
  <c r="K11" i="3" l="1"/>
  <c r="J12" i="3" s="1"/>
  <c r="F12" i="3"/>
  <c r="H11" i="3"/>
  <c r="I11" i="3" s="1"/>
  <c r="L11" i="3"/>
  <c r="M11" i="3" s="1"/>
  <c r="O11" i="3"/>
  <c r="P11" i="3" s="1"/>
  <c r="C12" i="3" l="1"/>
  <c r="K11" i="2"/>
  <c r="L11" i="2" s="1"/>
  <c r="J12" i="2" s="1"/>
  <c r="O4" i="4"/>
  <c r="O6" i="4"/>
  <c r="O5" i="4"/>
  <c r="B12" i="3" l="1"/>
  <c r="D12" i="3" l="1"/>
  <c r="E12" i="3" l="1"/>
  <c r="G12" i="3"/>
  <c r="F13" i="3" s="1"/>
  <c r="C13" i="3" l="1"/>
  <c r="K12" i="3"/>
  <c r="H12" i="3"/>
  <c r="I12" i="3" s="1"/>
  <c r="L12" i="3"/>
  <c r="P4" i="4" l="1"/>
  <c r="M12" i="3"/>
  <c r="J13" i="3"/>
  <c r="O12" i="3"/>
  <c r="P12" i="3" s="1"/>
  <c r="P6" i="4" l="1"/>
  <c r="P5" i="4"/>
  <c r="K12" i="2"/>
  <c r="L12" i="2" s="1"/>
  <c r="J13" i="2" s="1"/>
  <c r="B13" i="3" l="1"/>
  <c r="D13" i="3" l="1"/>
  <c r="G13" i="3" l="1"/>
  <c r="F14" i="3" s="1"/>
  <c r="C14" i="3" s="1"/>
  <c r="E13" i="3"/>
  <c r="K13" i="3" l="1"/>
  <c r="H13" i="3" s="1"/>
  <c r="I13" i="3" s="1"/>
  <c r="Q4" i="4" l="1"/>
  <c r="J14" i="3"/>
  <c r="O13" i="3"/>
  <c r="P13" i="3" s="1"/>
  <c r="L13" i="3"/>
  <c r="M13" i="3" s="1"/>
  <c r="Q5" i="4" l="1"/>
  <c r="K13" i="2"/>
  <c r="L13" i="2" s="1"/>
  <c r="J14" i="2" s="1"/>
  <c r="Q6" i="4"/>
  <c r="B14" i="3" l="1"/>
  <c r="D14" i="3" l="1"/>
  <c r="E14" i="3" l="1"/>
  <c r="G14" i="3"/>
  <c r="K14" i="3" l="1"/>
  <c r="O14" i="3" s="1"/>
  <c r="P14" i="3" s="1"/>
  <c r="R6" i="4" l="1"/>
  <c r="G6" i="4" s="1"/>
  <c r="C6" i="4"/>
  <c r="H14" i="3"/>
  <c r="I14" i="3" s="1"/>
  <c r="L14" i="3"/>
  <c r="M14" i="3" s="1"/>
  <c r="R5" i="4" l="1"/>
  <c r="G5" i="4" s="1"/>
  <c r="C5" i="4"/>
  <c r="K14" i="2"/>
  <c r="L14" i="2" s="1"/>
  <c r="R4" i="4"/>
  <c r="G4" i="4" s="1"/>
  <c r="C4" i="4"/>
  <c r="D6" i="4"/>
  <c r="F6" i="4" s="1"/>
  <c r="E6" i="4"/>
  <c r="E4" i="4" l="1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<sst xmlns="http://schemas.openxmlformats.org/spreadsheetml/2006/main" count="384" uniqueCount="324">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</sst>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3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2" dataDxfId="60" headerRowBorderDxfId="61" tableBorderDxfId="59">
  <autoFilter ref="A3:N14" xr:uid="{31008567-CFA1-42A9-9327-0B98502CA80D}"/>
  <tableColumns count="14">
    <tableColumn id="1" xr3:uid="{26936D8D-49BB-4E72-8714-F0F4A39544E1}" name="Year" dataDxfId="58"/>
    <tableColumn id="2" xr3:uid="{C01BD3A8-84A3-4936-AD75-B10875A3A516}" name="Phase" dataDxfId="57"/>
    <tableColumn id="3" xr3:uid="{C3EFC4B8-12CA-4DCA-8610-6334A06443D6}" name="Gross Potential Rent" dataDxfId="56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Effective Gross Income" dataDxfId="55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4">
      <calculatedColumnFormula>IF(AnnualModelTable[[#This Row],[Year]]&gt;SaleExitYear,0,AnnualModelTable[[#This Row],[Effective Gross Income]]*OperatingExpenseRatio)</calculatedColumnFormula>
    </tableColumn>
    <tableColumn id="6" xr3:uid="{3F74AC57-500F-402C-9765-78D18626B1BE}" name="NOI" dataDxfId="53">
      <calculatedColumnFormula>IF(AnnualModelTable[[#This Row],[Year]]&gt;SaleExitYear,0,AnnualModelTable[[#This Row],[Effective Gross Income]]-AnnualModelTable[[#This Row],[Operating Expenses]])</calculatedColumnFormula>
    </tableColumn>
    <tableColumn id="7" xr3:uid="{56511279-406D-4252-A9A7-9170D8B87E55}" name="Debt Service" dataDxfId="52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urrent Year Cash Before Refi/Sale" dataDxfId="51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0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Row],[A Capital Balance]]*ClassAPreferredReturn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2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9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Total Dist" dataDxfId="28">
      <calculatedColumnFormula>WaterfallTable[[#This Row],[B Capital Returned]]+WaterfallTable[[#This Row],[B Residual]]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2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ributions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Distributions]]/ReturnsTable[[#This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2" workbookViewId="0">
      <selection activeCell="B48" sqref="B48:C48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f>+Waterfall!R3</f>
        <v>4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4" t="s">
        <v>291</v>
      </c>
      <c r="E7" s="64"/>
      <c r="F7" s="64"/>
      <c r="G7" s="64"/>
      <c r="H7" s="64"/>
      <c r="I7" s="64"/>
      <c r="J7" s="64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318</v>
      </c>
      <c r="B47" s="13">
        <v>125000</v>
      </c>
      <c r="C47" s="13" t="s">
        <v>319</v>
      </c>
    </row>
    <row r="48" spans="1:3" x14ac:dyDescent="0.25">
      <c r="A48" s="13" t="s">
        <v>54</v>
      </c>
      <c r="B48" s="62" t="s">
        <v>55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5" t="s">
        <v>56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Row],[Effective Gross Income]]*OperatingExpenseRatio)</f>
        <v>0</v>
      </c>
      <c r="F4" s="13">
        <f>IF(AnnualModelTable[[#This Row],[Year]]&gt;SaleExitYear,0,AnnualModelTable[[#This Row],[Effective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Row],[Effective Gross Income]]*OperatingExpenseRatio)</f>
        <v>21120</v>
      </c>
      <c r="F5" s="13">
        <f>IF(AnnualModelTable[[#This Row],[Year]]&gt;SaleExitYear,0,AnnualModelTable[[#This Row],[Effective Gross Income]]-AnnualModelTable[[#This Row],[Operating Expenses]])</f>
        <v>31680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17868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17868</v>
      </c>
      <c r="K5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17868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Row],[Effective Gross Income]]*OperatingExpenseRatio)</f>
        <v>48211.200000000004</v>
      </c>
      <c r="F6" s="13">
        <f>IF(AnnualModelTable[[#This Row],[Year]]&gt;SaleExitYear,0,AnnualModelTable[[#This Row],[Effective Gross Income]]-AnnualModelTable[[#This Row],[Operating Expenses]])</f>
        <v>72316.799999999988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6" s="13">
        <f>IF(AnnualModelTable[[#This Row],[Year]]&gt;SaleExitYear,0,AnnualModelTable[[#This Row],[NOI]]-AnnualModelTable[[#This Row],[Debt Service]])</f>
        <v>17215.282003266555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532471.35999999987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549686.64200326637</v>
      </c>
      <c r="K6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549686.64200326637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726471.35999999987</v>
      </c>
      <c r="N6" s="13">
        <f>IF(AnnualModelTable[[#This Row],[Year]]&gt;SaleExitYear,0,IF(AnnualModelTable[[#This Row],[Year]]&lt;StabilizationRefiYear,0,AnnualModelTable[[#This Row],[NOI]]*(1+NOIGrowth)/ExitCapRate))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Row],[Effective Gross Income]]*OperatingExpenseRatio)</f>
        <v>53568</v>
      </c>
      <c r="F7" s="13">
        <f>IF(AnnualModelTable[[#This Row],[Year]]&gt;SaleExitYear,0,AnnualModelTable[[#This Row],[Effective Gross Income]]-AnnualModelTable[[#This Row],[Operating Expenses]])</f>
        <v>80352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7" s="13">
        <f>IF(AnnualModelTable[[#This Row],[Year]]&gt;SaleExitYear,0,AnnualModelTable[[#This Row],[NOI]]-AnnualModelTable[[#This Row],[Debt Service]])</f>
        <v>25250.482003266567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7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25250.482003266567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718351.40458457998</v>
      </c>
      <c r="N7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Row],[Effective Gross Income]]*OperatingExpenseRatio)</f>
        <v>53568</v>
      </c>
      <c r="F8" s="13">
        <f>IF(AnnualModelTable[[#This Row],[Year]]&gt;SaleExitYear,0,AnnualModelTable[[#This Row],[Effective Gross Income]]-AnnualModelTable[[#This Row],[Operating Expenses]])</f>
        <v>80352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8" s="13">
        <f>IF(AnnualModelTable[[#This Row],[Year]]&gt;SaleExitYear,0,AnnualModelTable[[#This Row],[NOI]]-AnnualModelTable[[#This Row],[Debt Service]])</f>
        <v>25250.482003266567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1158675.8399999999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1183926.3220032663</v>
      </c>
      <c r="K8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1183926.3220032663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8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9" s="13">
        <f>IF(AnnualModelTable[[#This Row],[Year]]&gt;SaleExitYear,0,AnnualModelTable[[#This Row],[Effective Gross Income]]*OperatingExpenseRatio)</f>
        <v>0</v>
      </c>
      <c r="F9" s="13">
        <f>IF(AnnualModelTable[[#This Row],[Year]]&gt;SaleExitYear,0,AnnualModelTable[[#This Row],[Effective Gross Income]]-AnnualModelTable[[#This Row],[Operating Expenses]])</f>
        <v>0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9" s="13">
        <f>IF(AnnualModelTable[[#This Row],[Year]]&gt;SaleExitYear,0,AnnualModelTable[[#This Row],[NOI]]-AnnualModelTable[[#This Row],[Debt Service]])</f>
        <v>0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9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9" s="13">
        <f>IF(AnnualModelTable[[#This Row],[Year]]&gt;SaleExitYear,0,IF(AnnualModelTable[[#This Row],[Year]]&lt;StabilizationRefiYear,0,AnnualModelTable[[#This Row],[NOI]]*(1+NOIGrowth)/ExitCapRate))</f>
        <v>0</v>
      </c>
    </row>
    <row r="10" spans="1:14" x14ac:dyDescent="0.25">
      <c r="A10" s="13">
        <v>6</v>
      </c>
      <c r="B10" s="13" t="s">
        <v>69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Row],[Effective Gross Income]]*OperatingExpenseRatio)</f>
        <v>0</v>
      </c>
      <c r="F10" s="13">
        <f>IF(AnnualModelTable[[#This Row],[Year]]&gt;SaleExitYear,0,AnnualModelTable[[#This Row],[Effective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0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4" x14ac:dyDescent="0.25">
      <c r="A11" s="13">
        <v>7</v>
      </c>
      <c r="B11" s="13" t="s">
        <v>69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Row],[Effective Gross Income]]*OperatingExpenseRatio)</f>
        <v>0</v>
      </c>
      <c r="F11" s="13">
        <f>IF(AnnualModelTable[[#This Row],[Year]]&gt;SaleExitYear,0,AnnualModelTable[[#This Row],[Effective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1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4" x14ac:dyDescent="0.25">
      <c r="A12" s="13">
        <v>8</v>
      </c>
      <c r="B12" s="13" t="s">
        <v>69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Row],[Effective Gross Income]]*OperatingExpenseRatio)</f>
        <v>0</v>
      </c>
      <c r="F12" s="13">
        <f>IF(AnnualModelTable[[#This Row],[Year]]&gt;SaleExitYear,0,AnnualModelTable[[#This Row],[Effective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2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4" x14ac:dyDescent="0.25">
      <c r="A13" s="13">
        <v>9</v>
      </c>
      <c r="B13" s="13" t="s">
        <v>69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Row],[Effective Gross Income]]*OperatingExpenseRatio)</f>
        <v>0</v>
      </c>
      <c r="F13" s="13">
        <f>IF(AnnualModelTable[[#This Row],[Year]]&gt;SaleExitYear,0,AnnualModelTable[[#This Row],[Effective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3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4" x14ac:dyDescent="0.25">
      <c r="A14" s="13">
        <v>10</v>
      </c>
      <c r="B14" s="13" t="s">
        <v>70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Row],[Effective Gross Income]]*OperatingExpenseRatio)</f>
        <v>0</v>
      </c>
      <c r="F14" s="13">
        <f>IF(AnnualModelTable[[#This Row],[Year]]&gt;SaleExitYear,0,AnnualModelTable[[#This Row],[Effective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M3" sqref="M3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85546875" style="6" bestFit="1" customWidth="1"/>
    <col min="4" max="4" width="8.285156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9.28515625" style="6" bestFit="1" customWidth="1"/>
    <col min="17" max="17" width="7.5703125" style="6" bestFit="1" customWidth="1"/>
    <col min="18" max="18" width="8.140625" style="6" bestFit="1" customWidth="1"/>
    <col min="19" max="19" width="7.140625" style="6" bestFit="1" customWidth="1"/>
    <col min="20" max="16384" width="9.140625" style="6"/>
  </cols>
  <sheetData>
    <row r="1" spans="1:19" ht="18.75" x14ac:dyDescent="0.3">
      <c r="A1" s="65" t="s">
        <v>71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273</v>
      </c>
      <c r="D2" s="68"/>
      <c r="E2" s="68"/>
      <c r="F2" s="68"/>
      <c r="G2" s="68"/>
      <c r="H2" s="68"/>
      <c r="I2" s="68"/>
      <c r="J2" s="67" t="s">
        <v>92</v>
      </c>
      <c r="K2" s="68"/>
      <c r="L2" s="68"/>
      <c r="M2" s="68"/>
      <c r="N2" s="69" t="s">
        <v>93</v>
      </c>
      <c r="O2" s="68"/>
      <c r="P2" s="68"/>
    </row>
    <row r="3" spans="1:19" s="23" customFormat="1" ht="60.75" thickBot="1" x14ac:dyDescent="0.3">
      <c r="A3" s="27" t="s">
        <v>57</v>
      </c>
      <c r="B3" s="27" t="s">
        <v>72</v>
      </c>
      <c r="C3" s="28" t="s">
        <v>313</v>
      </c>
      <c r="D3" s="28" t="s">
        <v>312</v>
      </c>
      <c r="E3" s="28" t="s">
        <v>316</v>
      </c>
      <c r="F3" s="28" t="s">
        <v>314</v>
      </c>
      <c r="G3" s="28" t="s">
        <v>275</v>
      </c>
      <c r="H3" s="28" t="s">
        <v>276</v>
      </c>
      <c r="I3" s="28" t="s">
        <v>317</v>
      </c>
      <c r="J3" s="27" t="s">
        <v>315</v>
      </c>
      <c r="K3" s="27" t="s">
        <v>277</v>
      </c>
      <c r="L3" s="27" t="s">
        <v>278</v>
      </c>
      <c r="M3" s="27" t="s">
        <v>311</v>
      </c>
      <c r="N3" s="29" t="s">
        <v>284</v>
      </c>
      <c r="O3" s="29" t="s">
        <v>285</v>
      </c>
      <c r="P3" s="29" t="s">
        <v>323</v>
      </c>
      <c r="R3" s="60">
        <v>4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17868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17868</v>
      </c>
      <c r="E5" s="13">
        <f>IF(WaterfallTable[[#This Row],[Year]]&gt;SaleExitYear,0,MAX(0,INDEX(WaterfallTable[End of Year Pref Balance],1)+WaterfallTable[[#This Row],[Pref Accrued]]-WaterfallTable[[#This Row],[Pref Paid]]))</f>
        <v>30132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17868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549686.64200326637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54132</v>
      </c>
      <c r="E6" s="13">
        <f>IF(WaterfallTable[[#This Row],[Year]]&gt;SaleExitYear,0,MAX(0,INDEX(WaterfallTable[End of Year Pref Balance],2)+WaterfallTable[[#This Row],[Pref Accrued]]-WaterfallTable[[#This Row],[Pref Paid]]))</f>
        <v>0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300000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354132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195554.64200326637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195554.64200326637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25250.482003266567</v>
      </c>
      <c r="C7" s="13">
        <f>IF(WaterfallTable[[#This Row],[Year]]&gt;SaleExitYear,0,WaterfallTable[[#This Row],[A Capital Balance]]*ClassAPreferredReturn)</f>
        <v>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0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0</v>
      </c>
      <c r="J7" s="13">
        <f>IF(WaterfallTable[[#This Row],[Year]]&gt;SaleExitYear,0,MAX(0,INDEX(WaterfallTable[B Capital Balance],3)-INDEX(WaterfallTable[B Capital Returned],3)))</f>
        <v>401945.35799673363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25250.482003266567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1183926.3220032663</v>
      </c>
      <c r="C8" s="13">
        <f>IF(WaterfallTable[[#This Row],[Year]]&gt;SaleExitYear,0,WaterfallTable[[#This Row],[A Capital Balance]]*ClassAPreferredReturn)</f>
        <v>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0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0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161896.00031394302</v>
      </c>
      <c r="I8" s="13">
        <f>IF(WaterfallTable[[#This Row],[Year]]&gt;SaleExitYear,0,WaterfallTable[[#This Row],[Pref Paid]]+WaterfallTable[[#This Row],[A Capital Returned]]+WaterfallTable[[#This Row],[A Residual]])</f>
        <v>161896.00031394302</v>
      </c>
      <c r="J8" s="13">
        <f>IF(WaterfallTable[[#This Row],[Year]]&gt;SaleExitYear,0,MAX(0,INDEX(WaterfallTable[B Capital Balance],4)-INDEX(WaterfallTable[B Capital Returned],4)))</f>
        <v>376694.87599346705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376694.87599346705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322442.86729193653</v>
      </c>
      <c r="M8" s="13">
        <f>IF(WaterfallTable[[#This Row],[Year]]&gt;SaleExitYear,0,WaterfallTable[[#This Row],[B Capital Returned]]+WaterfallTable[[#This Row],[B Residual]])</f>
        <v>699137.74328540359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322892.5784039197</v>
      </c>
      <c r="P8" s="13">
        <f>IF(WaterfallTable[[#This Row],[Year]]&gt;SaleExitYear,0,WaterfallTable[[#This Row],[Property Payment]]+WaterfallTable[[#This Row],[Residual]])</f>
        <v>322892.5784039197</v>
      </c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0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0</v>
      </c>
      <c r="J9" s="13">
        <f>IF(WaterfallTable[[#This Row],[Year]]&gt;SaleExitYear,0,MAX(0,INDEX(WaterfallTable[B Capital Balance],5)-INDEX(WaterfallTable[B Capital Returned],5)))</f>
        <v>0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0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1" s="13">
        <f>IF(WaterfallTable[[#This Row],[Year]]&gt;SaleExitYear,0,WaterfallTable[[#This Row],[Pref Paid]]+WaterfallTable[[#This Row],[A Capital Returned]]+WaterfallTable[[#This Row],[A Residual]])</f>
        <v>0</v>
      </c>
      <c r="J11" s="13">
        <f>IF(WaterfallTable[[#This Row],[Year]]&gt;SaleExitYear,0,MAX(0,INDEX(WaterfallTable[B Capital Balance],7)-INDEX(WaterfallTable[B Capital Returned],7)))</f>
        <v>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1" s="13">
        <f>IF(WaterfallTable[[#This Row],[Year]]&gt;SaleExitYear,0,WaterfallTable[[#This Row],[B Capital Returned]]+WaterfallTable[[#This Row],[B Residual]])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1" s="13">
        <f>IF(WaterfallTable[[#This Row],[Year]]&gt;SaleExitYear,0,WaterfallTable[[#This Row],[Property Payment]]+WaterfallTable[[#This Row],[Residual]])</f>
        <v>0</v>
      </c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73</v>
      </c>
      <c r="B18" s="58" t="s">
        <v>320</v>
      </c>
      <c r="C18" s="58" t="s">
        <v>321</v>
      </c>
      <c r="D18" s="58" t="s">
        <v>322</v>
      </c>
      <c r="E18" s="58" t="s">
        <v>81</v>
      </c>
      <c r="F18" s="58" t="s">
        <v>82</v>
      </c>
      <c r="G18" s="58" t="s">
        <v>83</v>
      </c>
      <c r="H18" s="58" t="s">
        <v>84</v>
      </c>
      <c r="I18" s="58" t="s">
        <v>85</v>
      </c>
      <c r="J18" s="58" t="s">
        <v>86</v>
      </c>
      <c r="K18" s="58" t="s">
        <v>87</v>
      </c>
      <c r="L18" s="58" t="s">
        <v>88</v>
      </c>
      <c r="M18" s="58" t="s">
        <v>89</v>
      </c>
      <c r="N18" s="58" t="s">
        <v>90</v>
      </c>
      <c r="O18" s="58" t="s">
        <v>310</v>
      </c>
      <c r="P18" s="58" t="s">
        <v>75</v>
      </c>
      <c r="Q18" s="58" t="s">
        <v>77</v>
      </c>
      <c r="R18" s="59" t="s">
        <v>78</v>
      </c>
      <c r="S18" s="58" t="s">
        <v>79</v>
      </c>
    </row>
    <row r="19" spans="1:19" x14ac:dyDescent="0.25">
      <c r="A19" s="49" t="s">
        <v>91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Distribution],MATCH(1,WaterfallTable[Year],0)))</f>
        <v>17868</v>
      </c>
      <c r="F19" s="41">
        <f>IF(2&gt;SaleExitYear,0,INDEX(WaterfallTable[Total Distribution],MATCH(2,WaterfallTable[Year],0)))</f>
        <v>354132</v>
      </c>
      <c r="G19" s="41">
        <f>IF(3&gt;SaleExitYear,0,INDEX(WaterfallTable[Total Distribution],MATCH(3,WaterfallTable[Year],0)))</f>
        <v>0</v>
      </c>
      <c r="H19" s="41">
        <f>IF(4&gt;SaleExitYear,0,INDEX(WaterfallTable[Total Distribution],MATCH(4,WaterfallTable[Year],0)))</f>
        <v>161896.00031394302</v>
      </c>
      <c r="I19" s="41">
        <f>IF(5&gt;SaleExitYear,0,INDEX(WaterfallTable[Total Distribution],MATCH(5,WaterfallTable[Year],0)))</f>
        <v>0</v>
      </c>
      <c r="J19" s="41">
        <f>IF(6&gt;SaleExitYear,0,INDEX(WaterfallTable[Total Distribution],MATCH(6,WaterfallTable[Year],0)))</f>
        <v>0</v>
      </c>
      <c r="K19" s="41">
        <f>IF(7&gt;SaleExitYear,0,INDEX(WaterfallTable[Total Distribution],MATCH(7,WaterfallTable[Year],0)))</f>
        <v>0</v>
      </c>
      <c r="L19" s="41">
        <f>IF(8&gt;SaleExitYear,0,INDEX(WaterfallTable[Total Distribution],MATCH(8,WaterfallTable[Year],0)))</f>
        <v>0</v>
      </c>
      <c r="M19" s="41">
        <f>IF(9&gt;SaleExitYear,0,INDEX(WaterfallTable[Total Distribution],MATCH(9,WaterfallTable[Year],0)))</f>
        <v>0</v>
      </c>
      <c r="N19" s="41">
        <f>IF(10&gt;SaleExitYear,0,INDEX(WaterfallTable[Total Distribution],MATCH(10,WaterfallTable[Year],0)))</f>
        <v>0</v>
      </c>
      <c r="O19" s="41">
        <f>SUM(ReturnsTable[[#This Row],[Initial Capitalization]:[Year 10]])</f>
        <v>233896.00031394302</v>
      </c>
      <c r="P19" s="41">
        <f>ReturnsTable[[#This Row],[Total Profit]]+ReturnsTable[[#This Row],[Capital Investment]]</f>
        <v>533896.00031394302</v>
      </c>
      <c r="Q19" s="42">
        <f>IFERROR(ReturnsTable[[#This Row],[Total Distributions]]/ReturnsTable[[#This Row],[Capital Investment]],0)</f>
        <v>1.77965333437981</v>
      </c>
      <c r="R19" s="53">
        <f>IFERROR(ReturnsTable[[#This Row],[Total Profit]]/ReturnsTable[[#This Row],[Capital Investment]],0)</f>
        <v>0.7796533343798101</v>
      </c>
      <c r="S19" s="61">
        <f>IFERROR(IRR(ReturnsTable[[#This Row],[Initial Capitalization]:[Year 10]]),0)</f>
        <v>0.26260029561226994</v>
      </c>
    </row>
    <row r="20" spans="1:19" x14ac:dyDescent="0.25">
      <c r="A20" s="50" t="s">
        <v>92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IF(1&gt;SaleExitYear,0,INDEX(WaterfallTable[Total Dist],MATCH(1,WaterfallTable[Year],0)))</f>
        <v>0</v>
      </c>
      <c r="F20" s="43">
        <f>IF(2&gt;SaleExitYear,0,INDEX(WaterfallTable[Total Dist],MATCH(2,WaterfallTable[Year],0)))</f>
        <v>195554.64200326637</v>
      </c>
      <c r="G20" s="43">
        <f>IF(3&gt;SaleExitYear,0,INDEX(WaterfallTable[Total Dist],MATCH(3,WaterfallTable[Year],0)))</f>
        <v>25250.482003266567</v>
      </c>
      <c r="H20" s="43">
        <f>IF(4&gt;SaleExitYear,0,INDEX(WaterfallTable[Total Dist],MATCH(4,WaterfallTable[Year],0)))</f>
        <v>699137.74328540359</v>
      </c>
      <c r="I20" s="43">
        <f>IF(5&gt;SaleExitYear,0,INDEX(WaterfallTable[Total Dist],MATCH(5,WaterfallTable[Year],0)))</f>
        <v>0</v>
      </c>
      <c r="J20" s="43">
        <f>IF(6&gt;SaleExitYear,0,INDEX(WaterfallTable[Total Dist],MATCH(6,WaterfallTable[Year],0)))</f>
        <v>0</v>
      </c>
      <c r="K20" s="43">
        <f>IF(7&gt;SaleExitYear,0,INDEX(WaterfallTable[Total Dist],MATCH(7,WaterfallTable[Year],0)))</f>
        <v>0</v>
      </c>
      <c r="L20" s="43">
        <f>IF(8&gt;SaleExitYear,0,INDEX(WaterfallTable[Total Dist],MATCH(8,WaterfallTable[Year],0)))</f>
        <v>0</v>
      </c>
      <c r="M20" s="43">
        <f>IF(9&gt;SaleExitYear,0,INDEX(WaterfallTable[Total Dist],MATCH(9,WaterfallTable[Year],0)))</f>
        <v>0</v>
      </c>
      <c r="N20" s="43">
        <f>IF(10&gt;SaleExitYear,0,INDEX(WaterfallTable[Total Dist],MATCH(10,WaterfallTable[Year],0)))</f>
        <v>0</v>
      </c>
      <c r="O20" s="43">
        <f>SUM(ReturnsTable[[#This Row],[Initial Capitalization]:[Year 10]])</f>
        <v>322442.86729193653</v>
      </c>
      <c r="P20" s="43">
        <f>ReturnsTable[[#This Row],[Total Profit]]+ReturnsTable[[#This Row],[Capital Investment]]</f>
        <v>919942.86729193653</v>
      </c>
      <c r="Q20" s="44">
        <f>IFERROR(ReturnsTable[[#This Row],[Total Distributions]]/ReturnsTable[[#This Row],[Capital Investment]],0)</f>
        <v>1.53965333437981</v>
      </c>
      <c r="R20" s="54">
        <f>IFERROR(ReturnsTable[[#This Row],[Total Profit]]/ReturnsTable[[#This Row],[Capital Investment]],0)</f>
        <v>0.53965333437981011</v>
      </c>
      <c r="S20" s="61">
        <f>IFERROR(IRR(ReturnsTable[[#This Row],[Initial Capitalization]:[Year 10]]),0)</f>
        <v>0.13106046890556122</v>
      </c>
    </row>
    <row r="21" spans="1:19" x14ac:dyDescent="0.25">
      <c r="A21" s="51" t="s">
        <v>93</v>
      </c>
      <c r="B21" s="45">
        <f>SponsorCapitalInvestment</f>
        <v>125000</v>
      </c>
      <c r="C21" s="45">
        <f>SponsorBasis</f>
        <v>150000</v>
      </c>
      <c r="D21" s="45">
        <f>INDEX(WaterfallTable[Total Dist2],MATCH(0,WaterfallTable[Year],0))-ReturnsTable[[#This Row],[Capital Investment]]</f>
        <v>25000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322892.5784039197</v>
      </c>
      <c r="I21" s="45">
        <f>IF(5&gt;SaleExitYear,0,INDEX(WaterfallTable[Total Dist2],MATCH(5,WaterfallTable[Year],0)))</f>
        <v>0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347892.5784039197</v>
      </c>
      <c r="P21" s="45">
        <f>ReturnsTable[[#This Row],[Total Profit]]+ReturnsTable[[#This Row],[Capital Investment]]</f>
        <v>472892.5784039197</v>
      </c>
      <c r="Q21" s="46">
        <f>IFERROR(ReturnsTable[[#This Row],[Total Distributions]]/ReturnsTable[[#This Row],[Capital Investment]],0)</f>
        <v>3.7831406272313575</v>
      </c>
      <c r="R21" s="55">
        <f>IFERROR(ReturnsTable[[#This Row],[Total Profit]]/ReturnsTable[[#This Row],[Capital Investment]],0)</f>
        <v>2.7831406272313575</v>
      </c>
      <c r="S21" s="61">
        <f>IFERROR(IRR(ReturnsTable[[#This Row],[Initial Capitalization]:[Year 10]]),0)</f>
        <v>0</v>
      </c>
    </row>
    <row r="22" spans="1:19" x14ac:dyDescent="0.25">
      <c r="A22" s="52" t="s">
        <v>298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IF(1&gt;SaleExitYear,0,ManagementFeeRate*INDEX(AnnualModelTable[Effective Gross Income],MATCH(1,AnnualModelTable[Year],0)))</f>
        <v>3168</v>
      </c>
      <c r="F22" s="47">
        <f>IF(2&gt;SaleExitYear,0,ManagementFeeRate*INDEX(AnnualModelTable[Effective Gross Income],MATCH(2,AnnualModelTable[Year],0)))</f>
        <v>7231.6799999999994</v>
      </c>
      <c r="G22" s="47">
        <f>IF(3&gt;SaleExitYear,0,ManagementFeeRate*INDEX(AnnualModelTable[Effective Gross Income],MATCH(3,AnnualModelTable[Year],0)))</f>
        <v>8035.2</v>
      </c>
      <c r="H22" s="47">
        <f>IF(4&gt;SaleExitYear,0,ManagementFeeRate*INDEX(AnnualModelTable[Effective Gross Income],MATCH(4,AnnualModelTable[Year],0)))</f>
        <v>8035.2</v>
      </c>
      <c r="I22" s="47">
        <f>IF(5&gt;SaleExitYear,0,ManagementFeeRate*INDEX(AnnualModelTable[Effective Gross Income],MATCH(5,AnnualModelTable[Year],0)))</f>
        <v>0</v>
      </c>
      <c r="J22" s="47">
        <f>IF(6&gt;SaleExitYear,0,ManagementFeeRate*INDEX(AnnualModelTable[Effective Gross Income],MATCH(6,AnnualModelTable[Year],0)))</f>
        <v>0</v>
      </c>
      <c r="K22" s="47">
        <f>IF(7&gt;SaleExitYear,0,ManagementFeeRate*INDEX(AnnualModelTable[Effective Gross Income],MATCH(7,AnnualModelTable[Year],0)))</f>
        <v>0</v>
      </c>
      <c r="L22" s="47">
        <f>IF(8&gt;SaleExitYear,0,ManagementFeeRate*INDEX(AnnualModelTable[Effective Gross Income],MATCH(8,AnnualModelTable[Year],0)))</f>
        <v>0</v>
      </c>
      <c r="M22" s="47">
        <f>IF(9&gt;SaleExitYear,0,ManagementFeeRate*INDEX(AnnualModelTable[Effective Gross Income],MATCH(9,AnnualModelTable[Year],0)))</f>
        <v>0</v>
      </c>
      <c r="N22" s="47">
        <f>IF(10&gt;SaleExitYear,0,ManagementFeeRate*INDEX(AnnualModelTable[Effective Gross Income],MATCH(10,AnnualModelTable[Year],0)))</f>
        <v>0</v>
      </c>
      <c r="O22" s="47">
        <f>SUM(ReturnsTable[[#This Row],[Initial Capitalization]:[Year 10]])</f>
        <v>26470.080000000002</v>
      </c>
      <c r="P22" s="47">
        <f>ReturnsTable[[#This Row],[Total Profit]]</f>
        <v>26470.080000000002</v>
      </c>
      <c r="Q22" s="48">
        <f>0</f>
        <v>0</v>
      </c>
      <c r="R22" s="56">
        <f>0</f>
        <v>0</v>
      </c>
      <c r="S22" s="61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280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533896.00031394302</v>
      </c>
      <c r="D4" s="13">
        <f>C4-B4</f>
        <v>233896.00031394302</v>
      </c>
      <c r="E4" s="13">
        <f>IFERROR(C4/B4,0)</f>
        <v>1.77965333437981</v>
      </c>
      <c r="F4" s="24">
        <f>IFERROR(D4/B4,0)</f>
        <v>0.7796533343798101</v>
      </c>
      <c r="G4" s="24">
        <f>IRR(H4:R4)</f>
        <v>0.26260029561226994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161896.00031394302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919942.86729193653</v>
      </c>
      <c r="D5" s="13">
        <f>C5-B5</f>
        <v>322442.86729193653</v>
      </c>
      <c r="E5" s="13">
        <f>IFERROR(C5/B5,0)</f>
        <v>1.53965333437981</v>
      </c>
      <c r="F5" s="24">
        <f>IFERROR(D5/B5,0)</f>
        <v>0.53965333437981011</v>
      </c>
      <c r="G5" s="24">
        <f>IFERROR(IRR(H5:R5),0)</f>
        <v>0.13106046890556122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699137.74328540359</v>
      </c>
      <c r="M5" s="13">
        <f>INDEX(Waterfall!$M$4:$M$14,MATCH(5,Waterfall!$A$4:$A$14,0))</f>
        <v>0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472892.5784039197</v>
      </c>
      <c r="D6" s="13">
        <f>C6-B6</f>
        <v>322892.5784039197</v>
      </c>
      <c r="E6" s="13">
        <f>IFERROR(C6/B6,0)</f>
        <v>3.1526171893594648</v>
      </c>
      <c r="F6" s="24">
        <f>IFERROR(D6/B6,0)</f>
        <v>2.1526171893594648</v>
      </c>
      <c r="G6" s="24">
        <f>IFERROR(IRR(H6:R6),0)</f>
        <v>0.21127206382191832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322892.5784039197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2" t="s">
        <v>272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1" t="s">
        <v>107</v>
      </c>
      <c r="C2" s="63"/>
      <c r="D2" s="63"/>
    </row>
    <row r="3" spans="1:10" x14ac:dyDescent="0.25">
      <c r="A3" s="13" t="s">
        <v>108</v>
      </c>
      <c r="B3" s="71" t="s">
        <v>109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3" t="s">
        <v>163</v>
      </c>
      <c r="C62" s="63"/>
      <c r="D62" s="63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3" t="s">
        <v>167</v>
      </c>
      <c r="D66" s="63"/>
      <c r="E66" s="63"/>
      <c r="F66" s="63"/>
      <c r="G66" s="63"/>
    </row>
    <row r="67" spans="1:7" x14ac:dyDescent="0.25">
      <c r="A67" s="6" t="s">
        <v>168</v>
      </c>
      <c r="B67" s="6" t="s">
        <v>166</v>
      </c>
      <c r="C67" s="63" t="s">
        <v>167</v>
      </c>
      <c r="D67" s="63"/>
      <c r="E67" s="63"/>
      <c r="F67" s="63"/>
      <c r="G67" s="63"/>
    </row>
    <row r="68" spans="1:7" x14ac:dyDescent="0.25">
      <c r="A68" s="6" t="s">
        <v>169</v>
      </c>
      <c r="B68" s="6" t="s">
        <v>166</v>
      </c>
      <c r="C68" s="63" t="s">
        <v>167</v>
      </c>
      <c r="D68" s="63"/>
      <c r="E68" s="63"/>
      <c r="F68" s="63"/>
      <c r="G68" s="63"/>
    </row>
    <row r="69" spans="1:7" x14ac:dyDescent="0.25">
      <c r="A69" s="6" t="s">
        <v>170</v>
      </c>
      <c r="B69" s="6" t="s">
        <v>166</v>
      </c>
      <c r="C69" s="63" t="s">
        <v>167</v>
      </c>
      <c r="D69" s="63"/>
      <c r="E69" s="63"/>
      <c r="F69" s="63"/>
      <c r="G69" s="63"/>
    </row>
    <row r="70" spans="1:7" x14ac:dyDescent="0.25">
      <c r="A70" s="6" t="s">
        <v>171</v>
      </c>
      <c r="B70" s="6" t="s">
        <v>172</v>
      </c>
      <c r="C70" s="63" t="s">
        <v>173</v>
      </c>
      <c r="D70" s="63"/>
      <c r="E70" s="63"/>
      <c r="F70" s="63"/>
      <c r="G70" s="63"/>
    </row>
    <row r="71" spans="1:7" x14ac:dyDescent="0.25">
      <c r="A71" s="6" t="s">
        <v>174</v>
      </c>
      <c r="B71" s="6" t="s">
        <v>166</v>
      </c>
      <c r="C71" s="63" t="s">
        <v>175</v>
      </c>
      <c r="D71" s="63"/>
      <c r="E71" s="63"/>
      <c r="F71" s="63"/>
      <c r="G71" s="63"/>
    </row>
    <row r="72" spans="1:7" x14ac:dyDescent="0.25">
      <c r="A72" s="6" t="s">
        <v>176</v>
      </c>
      <c r="B72" s="6" t="s">
        <v>166</v>
      </c>
      <c r="C72" s="63" t="s">
        <v>177</v>
      </c>
      <c r="D72" s="63"/>
      <c r="E72" s="63"/>
      <c r="F72" s="63"/>
      <c r="G72" s="63"/>
    </row>
    <row r="73" spans="1:7" x14ac:dyDescent="0.25">
      <c r="A73" s="6" t="s">
        <v>178</v>
      </c>
      <c r="B73" s="6" t="s">
        <v>166</v>
      </c>
      <c r="C73" s="63" t="s">
        <v>179</v>
      </c>
      <c r="D73" s="63"/>
      <c r="E73" s="63"/>
      <c r="F73" s="63"/>
      <c r="G73" s="63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3" t="s">
        <v>182</v>
      </c>
      <c r="D76" s="63"/>
      <c r="E76" s="63"/>
      <c r="F76" s="63"/>
      <c r="G76" s="63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3" t="s">
        <v>188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74</vt:i4>
      </vt:variant>
    </vt:vector>
  </HeadingPairs>
  <TitlesOfParts>
    <vt:vector size="81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2026-05-16T02:40:50Z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