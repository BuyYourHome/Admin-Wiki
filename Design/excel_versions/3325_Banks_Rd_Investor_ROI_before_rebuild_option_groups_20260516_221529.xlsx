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trlProps/ctrlProp2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029C2E7F-0B59-4AEE-8880-4CA4E9692258}" xr6:coauthVersionLast="47" xr6:coauthVersionMax="47" xr10:uidLastSave="{00000000-0000-0000-0000-000000000000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Waterfall!$S$3</definedName>
    <definedName name="SelectedWaterfallRefi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J4" i="2" s="1"/>
  <c r="B4" i="1"/>
  <c r="B16" i="7"/>
  <c r="B22" i="7"/>
  <c r="S22" i="3"/>
  <c r="R22" i="3"/>
  <c r="Q22" i="3"/>
  <c r="D22" i="3"/>
  <c r="C22" i="3"/>
  <c r="C21" i="3"/>
  <c r="C19" i="3"/>
  <c r="B22" i="3"/>
  <c r="B21" i="3"/>
  <c r="B19" i="3"/>
  <c r="D19" i="3" s="1"/>
  <c r="G11" i="1"/>
  <c r="F11" i="1"/>
  <c r="E11" i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N21" i="3" l="1"/>
  <c r="N20" i="3"/>
  <c r="N19" i="3"/>
  <c r="M14" i="3"/>
  <c r="M14" i="2"/>
  <c r="P14" i="3"/>
  <c r="O14" i="3"/>
  <c r="I14" i="3"/>
  <c r="O4" i="3"/>
  <c r="L14" i="3"/>
  <c r="L4" i="3"/>
  <c r="H14" i="3"/>
  <c r="H4" i="3"/>
  <c r="E14" i="3"/>
  <c r="D14" i="3"/>
  <c r="D4" i="3"/>
  <c r="J14" i="3"/>
  <c r="K14" i="3"/>
  <c r="K4" i="3"/>
  <c r="G14" i="3"/>
  <c r="G4" i="3"/>
  <c r="F14" i="3"/>
  <c r="F4" i="3"/>
  <c r="C4" i="3" s="1"/>
  <c r="C14" i="3"/>
  <c r="B17" i="1"/>
  <c r="L14" i="2"/>
  <c r="K14" i="2"/>
  <c r="K4" i="2"/>
  <c r="J14" i="2"/>
  <c r="O14" i="2"/>
  <c r="N9" i="3"/>
  <c r="C14" i="2"/>
  <c r="N10" i="3"/>
  <c r="N12" i="3"/>
  <c r="D4" i="2"/>
  <c r="N7" i="3"/>
  <c r="C5" i="2"/>
  <c r="D5" i="2" s="1"/>
  <c r="E22" i="3" s="1"/>
  <c r="C13" i="2"/>
  <c r="D13" i="2" s="1"/>
  <c r="M22" i="3" s="1"/>
  <c r="C6" i="2"/>
  <c r="D6" i="2" s="1"/>
  <c r="F22" i="3" s="1"/>
  <c r="C12" i="2"/>
  <c r="D12" i="2" s="1"/>
  <c r="L22" i="3" s="1"/>
  <c r="C4" i="2"/>
  <c r="P4" i="2"/>
  <c r="C8" i="2"/>
  <c r="D8" i="2" s="1"/>
  <c r="H22" i="3" s="1"/>
  <c r="C11" i="2"/>
  <c r="D11" i="2" s="1"/>
  <c r="K22" i="3" s="1"/>
  <c r="G4" i="2"/>
  <c r="O4" i="2"/>
  <c r="N5" i="3"/>
  <c r="C10" i="2"/>
  <c r="D10" i="2" s="1"/>
  <c r="J22" i="3" s="1"/>
  <c r="N6" i="3"/>
  <c r="N8" i="3"/>
  <c r="N14" i="3"/>
  <c r="C9" i="2"/>
  <c r="D9" i="2" s="1"/>
  <c r="I22" i="3" s="1"/>
  <c r="I4" i="2"/>
  <c r="N13" i="3"/>
  <c r="N4" i="3"/>
  <c r="P4" i="3" s="1"/>
  <c r="N11" i="3"/>
  <c r="C7" i="2"/>
  <c r="D7" i="2" s="1"/>
  <c r="G22" i="3" s="1"/>
  <c r="H11" i="1"/>
  <c r="C27" i="6"/>
  <c r="C8" i="6" s="1"/>
  <c r="B27" i="6"/>
  <c r="B8" i="6" s="1"/>
  <c r="B10" i="6" s="1"/>
  <c r="B28" i="1"/>
  <c r="C9" i="6"/>
  <c r="C10" i="6" s="1"/>
  <c r="B9" i="6"/>
  <c r="M4" i="3" l="1"/>
  <c r="I4" i="3"/>
  <c r="E4" i="3"/>
  <c r="F5" i="3"/>
  <c r="C5" i="3" s="1"/>
  <c r="D14" i="2"/>
  <c r="N22" i="3" s="1"/>
  <c r="O22" i="3" s="1"/>
  <c r="P22" i="3" s="1"/>
  <c r="D21" i="3"/>
  <c r="G10" i="6"/>
  <c r="B29" i="6" s="1"/>
  <c r="M4" i="2" l="1"/>
  <c r="B10" i="7"/>
  <c r="B15" i="7" s="1"/>
  <c r="B41" i="1"/>
  <c r="J4" i="3" s="1"/>
  <c r="J5" i="3" s="1"/>
  <c r="B15" i="6"/>
  <c r="B14" i="6"/>
  <c r="B20" i="3" l="1"/>
  <c r="D20" i="3" s="1"/>
  <c r="C20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I5" i="2" s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13" i="2" l="1"/>
  <c r="I10" i="2"/>
  <c r="I12" i="2"/>
  <c r="I8" i="2"/>
  <c r="H4" i="2"/>
  <c r="L4" i="2" s="1"/>
  <c r="B45" i="1"/>
  <c r="B44" i="1"/>
  <c r="N4" i="2" l="1"/>
  <c r="B4" i="3"/>
  <c r="J5" i="2" l="1"/>
  <c r="K5" i="2" s="1"/>
  <c r="L5" i="2" l="1"/>
  <c r="B5" i="3" s="1"/>
  <c r="G5" i="3" l="1"/>
  <c r="F6" i="3" s="1"/>
  <c r="K5" i="3" l="1"/>
  <c r="C6" i="3"/>
  <c r="D5" i="3" l="1"/>
  <c r="J6" i="3"/>
  <c r="E5" i="3" l="1"/>
  <c r="O5" i="3"/>
  <c r="P5" i="3" s="1"/>
  <c r="E21" i="3" s="1"/>
  <c r="H5" i="3"/>
  <c r="I5" i="3" s="1"/>
  <c r="E19" i="3" s="1"/>
  <c r="L5" i="3"/>
  <c r="M5" i="3" l="1"/>
  <c r="E20" i="3" s="1"/>
  <c r="I4" i="4"/>
  <c r="I6" i="4"/>
  <c r="I5" i="4" l="1"/>
  <c r="M5" i="2"/>
  <c r="N5" i="2" s="1"/>
  <c r="J6" i="2" s="1"/>
  <c r="K6" i="2" s="1"/>
  <c r="L6" i="2" l="1"/>
  <c r="B6" i="3" s="1"/>
  <c r="G6" i="3" s="1"/>
  <c r="K6" i="3" l="1"/>
  <c r="J7" i="3" s="1"/>
  <c r="F7" i="3"/>
  <c r="C7" i="3" s="1"/>
  <c r="D6" i="3" l="1"/>
  <c r="E6" i="3" s="1"/>
  <c r="H6" i="3" l="1"/>
  <c r="I6" i="3" s="1"/>
  <c r="F19" i="3" s="1"/>
  <c r="O6" i="3"/>
  <c r="P6" i="3" s="1"/>
  <c r="J6" i="4" s="1"/>
  <c r="L6" i="3"/>
  <c r="M6" i="3" s="1"/>
  <c r="F20" i="3" s="1"/>
  <c r="J5" i="4" l="1"/>
  <c r="J4" i="4"/>
  <c r="M6" i="2"/>
  <c r="N6" i="2" s="1"/>
  <c r="J7" i="2" s="1"/>
  <c r="K7" i="2" s="1"/>
  <c r="F21" i="3"/>
  <c r="L7" i="2" l="1"/>
  <c r="B7" i="3" s="1"/>
  <c r="G7" i="3" s="1"/>
  <c r="K7" i="3" s="1"/>
  <c r="F8" i="3" l="1"/>
  <c r="C8" i="3" s="1"/>
  <c r="D7" i="3"/>
  <c r="E7" i="3" s="1"/>
  <c r="J8" i="3"/>
  <c r="H7" i="3" l="1"/>
  <c r="I7" i="3" s="1"/>
  <c r="L7" i="3"/>
  <c r="M7" i="3" s="1"/>
  <c r="G20" i="3" s="1"/>
  <c r="O7" i="3"/>
  <c r="P7" i="3" s="1"/>
  <c r="G21" i="3" s="1"/>
  <c r="M7" i="2" l="1"/>
  <c r="N7" i="2" s="1"/>
  <c r="J8" i="2" s="1"/>
  <c r="K8" i="2" s="1"/>
  <c r="G19" i="3"/>
  <c r="K6" i="4"/>
  <c r="K5" i="4"/>
  <c r="K4" i="4"/>
  <c r="L8" i="2" l="1"/>
  <c r="B8" i="3" s="1"/>
  <c r="G8" i="3" l="1"/>
  <c r="K8" i="3" l="1"/>
  <c r="F9" i="3"/>
  <c r="C9" i="3" l="1"/>
  <c r="D8" i="3"/>
  <c r="L8" i="3" s="1"/>
  <c r="M8" i="3" s="1"/>
  <c r="H20" i="3" s="1"/>
  <c r="J9" i="3"/>
  <c r="O8" i="3" l="1"/>
  <c r="P8" i="3" s="1"/>
  <c r="H21" i="3" s="1"/>
  <c r="E8" i="3"/>
  <c r="H8" i="3"/>
  <c r="I8" i="3" s="1"/>
  <c r="L5" i="4"/>
  <c r="L6" i="4" l="1"/>
  <c r="L4" i="4"/>
  <c r="H19" i="3"/>
  <c r="M8" i="2"/>
  <c r="N8" i="2" s="1"/>
  <c r="J9" i="2" s="1"/>
  <c r="K9" i="2" s="1"/>
  <c r="L9" i="2" l="1"/>
  <c r="B9" i="3" s="1"/>
  <c r="G9" i="3" l="1"/>
  <c r="K9" i="3" l="1"/>
  <c r="J10" i="3" s="1"/>
  <c r="F10" i="3"/>
  <c r="D9" i="3" l="1"/>
  <c r="E9" i="3" s="1"/>
  <c r="C10" i="3"/>
  <c r="O9" i="3" l="1"/>
  <c r="P9" i="3" s="1"/>
  <c r="I21" i="3" s="1"/>
  <c r="H9" i="3"/>
  <c r="I9" i="3" s="1"/>
  <c r="I19" i="3" s="1"/>
  <c r="L9" i="3"/>
  <c r="M9" i="3"/>
  <c r="I20" i="3" s="1"/>
  <c r="M6" i="4" l="1"/>
  <c r="M4" i="4"/>
  <c r="M5" i="4"/>
  <c r="M9" i="2"/>
  <c r="N9" i="2" s="1"/>
  <c r="J10" i="2" s="1"/>
  <c r="K10" i="2" s="1"/>
  <c r="L10" i="2" l="1"/>
  <c r="B10" i="3" s="1"/>
  <c r="G10" i="3" l="1"/>
  <c r="F11" i="3" s="1"/>
  <c r="C11" i="3" l="1"/>
  <c r="K10" i="3"/>
  <c r="J11" i="3" l="1"/>
  <c r="D10" i="3"/>
  <c r="E10" i="3" l="1"/>
  <c r="H10" i="3"/>
  <c r="I10" i="3" s="1"/>
  <c r="O10" i="3"/>
  <c r="P10" i="3" s="1"/>
  <c r="L10" i="3"/>
  <c r="M10" i="3" s="1"/>
  <c r="M10" i="2" l="1"/>
  <c r="N10" i="2" s="1"/>
  <c r="J19" i="3"/>
  <c r="N4" i="4"/>
  <c r="J20" i="3"/>
  <c r="N5" i="4"/>
  <c r="J21" i="3"/>
  <c r="N6" i="4"/>
  <c r="J11" i="2" l="1"/>
  <c r="K11" i="2" s="1"/>
  <c r="L11" i="2" l="1"/>
  <c r="B11" i="3" s="1"/>
  <c r="G11" i="3" s="1"/>
  <c r="F12" i="3" s="1"/>
  <c r="C12" i="3" l="1"/>
  <c r="K11" i="3"/>
  <c r="B14" i="3"/>
  <c r="J12" i="3" l="1"/>
  <c r="D11" i="3"/>
  <c r="O11" i="3" s="1"/>
  <c r="P11" i="3" s="1"/>
  <c r="R6" i="4"/>
  <c r="K21" i="3" l="1"/>
  <c r="O6" i="4"/>
  <c r="E11" i="3"/>
  <c r="H11" i="3"/>
  <c r="I11" i="3" s="1"/>
  <c r="L11" i="3"/>
  <c r="M11" i="3" s="1"/>
  <c r="R5" i="4"/>
  <c r="N14" i="2"/>
  <c r="R4" i="4"/>
  <c r="M11" i="2" l="1"/>
  <c r="N11" i="2" s="1"/>
  <c r="K19" i="3"/>
  <c r="O4" i="4"/>
  <c r="K20" i="3"/>
  <c r="O5" i="4"/>
  <c r="J12" i="2" l="1"/>
  <c r="K12" i="2" s="1"/>
  <c r="L12" i="2" l="1"/>
  <c r="B12" i="3" l="1"/>
  <c r="G12" i="3" l="1"/>
  <c r="F13" i="3" s="1"/>
  <c r="C13" i="3" s="1"/>
  <c r="K12" i="3" l="1"/>
  <c r="D12" i="3" s="1"/>
  <c r="O12" i="3" l="1"/>
  <c r="P12" i="3" s="1"/>
  <c r="L21" i="3" s="1"/>
  <c r="E12" i="3"/>
  <c r="H12" i="3"/>
  <c r="I12" i="3" s="1"/>
  <c r="L12" i="3"/>
  <c r="M12" i="3" s="1"/>
  <c r="J13" i="3"/>
  <c r="P6" i="4" l="1"/>
  <c r="L20" i="3"/>
  <c r="P5" i="4"/>
  <c r="L19" i="3"/>
  <c r="M12" i="2"/>
  <c r="N12" i="2" s="1"/>
  <c r="P4" i="4"/>
  <c r="J13" i="2" l="1"/>
  <c r="K13" i="2" s="1"/>
  <c r="L13" i="2" l="1"/>
  <c r="B13" i="3" l="1"/>
  <c r="G13" i="3" l="1"/>
  <c r="K13" i="3" s="1"/>
  <c r="D13" i="3" l="1"/>
  <c r="E13" i="3" l="1"/>
  <c r="H13" i="3"/>
  <c r="I13" i="3" s="1"/>
  <c r="L13" i="3"/>
  <c r="M13" i="3" s="1"/>
  <c r="O13" i="3"/>
  <c r="P13" i="3" s="1"/>
  <c r="M13" i="2" l="1"/>
  <c r="N13" i="2" s="1"/>
  <c r="M19" i="3"/>
  <c r="Q4" i="4"/>
  <c r="G4" i="4" s="1"/>
  <c r="C4" i="4"/>
  <c r="M20" i="3"/>
  <c r="Q5" i="4"/>
  <c r="G5" i="4" s="1"/>
  <c r="C5" i="4"/>
  <c r="M21" i="3"/>
  <c r="Q6" i="4"/>
  <c r="G6" i="4" s="1"/>
  <c r="C6" i="4"/>
  <c r="E4" i="4" l="1"/>
  <c r="D4" i="4"/>
  <c r="F4" i="4" s="1"/>
  <c r="O21" i="3"/>
  <c r="S21" i="3"/>
  <c r="D5" i="4"/>
  <c r="F5" i="4" s="1"/>
  <c r="E5" i="4"/>
  <c r="O20" i="3"/>
  <c r="S20" i="3"/>
  <c r="E6" i="4"/>
  <c r="D6" i="4"/>
  <c r="F6" i="4" s="1"/>
  <c r="S19" i="3"/>
  <c r="O19" i="3"/>
  <c r="P19" i="3" l="1"/>
  <c r="Q19" i="3" s="1"/>
  <c r="R19" i="3"/>
  <c r="R20" i="3"/>
  <c r="P20" i="3"/>
  <c r="Q20" i="3" s="1"/>
  <c r="R21" i="3"/>
  <c r="P21" i="3"/>
  <c r="Q21" i="3" s="1"/>
</calcChain>
</file>

<file path=xl/sharedStrings.xml><?xml version="1.0" encoding="utf-8"?>
<sst xmlns="http://schemas.openxmlformats.org/spreadsheetml/2006/main" count="388" uniqueCount="329">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</sst>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0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sz val="2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9" fillId="3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0" fillId="0" borderId="0" xfId="0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65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Radio" firstButton="1" fmlaLink="Waterfall!$R$3" lockText="1" noThreeD="1"/>
</file>

<file path=xl/ctrlProps/ctrlProp4.xml><?xml version="1.0" encoding="utf-8"?>
<formControlPr xmlns="http://schemas.microsoft.com/office/spreadsheetml/2009/9/main" objectType="Radio" firstButton="1" fmlaLink="Waterfall!$S$3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checked="Checked" lockText="1" noThreeD="1"/>
</file>

<file path=xl/ctrlProps/ctrlProp8.xml><?xml version="1.0" encoding="utf-8"?>
<formControlPr xmlns="http://schemas.microsoft.com/office/spreadsheetml/2009/9/main" objectType="Radio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lockText="1" noThreeD="1"/>
</file>

<file path=xl/ctrlProps/ctrlProp12.xml><?xml version="1.0" encoding="utf-8"?>
<formControlPr xmlns="http://schemas.microsoft.com/office/spreadsheetml/2009/9/main" objectType="Radio" checked="Checked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firstButton="1" fmlaLink="Waterfall!$S$3" lockText="1" noThreeD="1"/>
</file>

<file path=xl/ctrlProps/ctrlProp22.xml><?xml version="1.0" encoding="utf-8"?>
<formControlPr xmlns="http://schemas.microsoft.com/office/spreadsheetml/2009/9/main" objectType="Radio" checked="Checked" lockText="1" noThreeD="1"/>
</file>

<file path=xl/ctrlProps/ctrlProp23.xml><?xml version="1.0" encoding="utf-8"?>
<formControlPr xmlns="http://schemas.microsoft.com/office/spreadsheetml/2009/9/main" objectType="CheckBox" checked="Checked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9525</xdr:colOff>
          <xdr:row>3</xdr:row>
          <xdr:rowOff>0</xdr:rowOff>
        </xdr:from>
        <xdr:to>
          <xdr:col>17</xdr:col>
          <xdr:colOff>581025</xdr:colOff>
          <xdr:row>14</xdr:row>
          <xdr:rowOff>0</xdr:rowOff>
        </xdr:to>
        <xdr:sp macro="" textlink="">
          <xdr:nvSpPr>
            <xdr:cNvPr id="2081" name="RefiYearGroup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2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</xdr:row>
          <xdr:rowOff>0</xdr:rowOff>
        </xdr:from>
        <xdr:to>
          <xdr:col>18</xdr:col>
          <xdr:colOff>571500</xdr:colOff>
          <xdr:row>14</xdr:row>
          <xdr:rowOff>0</xdr:rowOff>
        </xdr:to>
        <xdr:sp macro="" textlink="">
          <xdr:nvSpPr>
            <xdr:cNvPr id="2082" name="ExitYearGroup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2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4</xdr:row>
          <xdr:rowOff>19050</xdr:rowOff>
        </xdr:from>
        <xdr:to>
          <xdr:col>17</xdr:col>
          <xdr:colOff>342900</xdr:colOff>
          <xdr:row>5</xdr:row>
          <xdr:rowOff>38100</xdr:rowOff>
        </xdr:to>
        <xdr:sp macro="" textlink="">
          <xdr:nvSpPr>
            <xdr:cNvPr id="2083" name="RefiYearOption_1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2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4</xdr:row>
          <xdr:rowOff>19050</xdr:rowOff>
        </xdr:from>
        <xdr:to>
          <xdr:col>18</xdr:col>
          <xdr:colOff>342900</xdr:colOff>
          <xdr:row>5</xdr:row>
          <xdr:rowOff>38100</xdr:rowOff>
        </xdr:to>
        <xdr:sp macro="" textlink="">
          <xdr:nvSpPr>
            <xdr:cNvPr id="2084" name="ExitYearOption_1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2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5</xdr:row>
          <xdr:rowOff>19050</xdr:rowOff>
        </xdr:from>
        <xdr:to>
          <xdr:col>17</xdr:col>
          <xdr:colOff>342900</xdr:colOff>
          <xdr:row>6</xdr:row>
          <xdr:rowOff>38100</xdr:rowOff>
        </xdr:to>
        <xdr:sp macro="" textlink="">
          <xdr:nvSpPr>
            <xdr:cNvPr id="2085" name="RefiYearOption_2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2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5</xdr:row>
          <xdr:rowOff>19050</xdr:rowOff>
        </xdr:from>
        <xdr:to>
          <xdr:col>18</xdr:col>
          <xdr:colOff>342900</xdr:colOff>
          <xdr:row>6</xdr:row>
          <xdr:rowOff>38100</xdr:rowOff>
        </xdr:to>
        <xdr:sp macro="" textlink="">
          <xdr:nvSpPr>
            <xdr:cNvPr id="2086" name="ExitYearOption_2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2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6</xdr:row>
          <xdr:rowOff>19050</xdr:rowOff>
        </xdr:from>
        <xdr:to>
          <xdr:col>17</xdr:col>
          <xdr:colOff>342900</xdr:colOff>
          <xdr:row>7</xdr:row>
          <xdr:rowOff>38100</xdr:rowOff>
        </xdr:to>
        <xdr:sp macro="" textlink="">
          <xdr:nvSpPr>
            <xdr:cNvPr id="2087" name="RefiYearOption_3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2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6</xdr:row>
          <xdr:rowOff>19050</xdr:rowOff>
        </xdr:from>
        <xdr:to>
          <xdr:col>18</xdr:col>
          <xdr:colOff>342900</xdr:colOff>
          <xdr:row>7</xdr:row>
          <xdr:rowOff>38100</xdr:rowOff>
        </xdr:to>
        <xdr:sp macro="" textlink="">
          <xdr:nvSpPr>
            <xdr:cNvPr id="2088" name="ExitYearOption_3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2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7</xdr:row>
          <xdr:rowOff>19050</xdr:rowOff>
        </xdr:from>
        <xdr:to>
          <xdr:col>17</xdr:col>
          <xdr:colOff>342900</xdr:colOff>
          <xdr:row>8</xdr:row>
          <xdr:rowOff>38100</xdr:rowOff>
        </xdr:to>
        <xdr:sp macro="" textlink="">
          <xdr:nvSpPr>
            <xdr:cNvPr id="2089" name="RefiYearOption_4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2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7</xdr:row>
          <xdr:rowOff>19050</xdr:rowOff>
        </xdr:from>
        <xdr:to>
          <xdr:col>18</xdr:col>
          <xdr:colOff>342900</xdr:colOff>
          <xdr:row>8</xdr:row>
          <xdr:rowOff>38100</xdr:rowOff>
        </xdr:to>
        <xdr:sp macro="" textlink="">
          <xdr:nvSpPr>
            <xdr:cNvPr id="2090" name="ExitYearOption_4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2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8</xdr:row>
          <xdr:rowOff>19050</xdr:rowOff>
        </xdr:from>
        <xdr:to>
          <xdr:col>17</xdr:col>
          <xdr:colOff>342900</xdr:colOff>
          <xdr:row>9</xdr:row>
          <xdr:rowOff>38100</xdr:rowOff>
        </xdr:to>
        <xdr:sp macro="" textlink="">
          <xdr:nvSpPr>
            <xdr:cNvPr id="2091" name="RefiYearOption_5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2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8</xdr:row>
          <xdr:rowOff>19050</xdr:rowOff>
        </xdr:from>
        <xdr:to>
          <xdr:col>18</xdr:col>
          <xdr:colOff>342900</xdr:colOff>
          <xdr:row>9</xdr:row>
          <xdr:rowOff>38100</xdr:rowOff>
        </xdr:to>
        <xdr:sp macro="" textlink="">
          <xdr:nvSpPr>
            <xdr:cNvPr id="2092" name="ExitYearOption_5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2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9</xdr:row>
          <xdr:rowOff>19050</xdr:rowOff>
        </xdr:from>
        <xdr:to>
          <xdr:col>17</xdr:col>
          <xdr:colOff>342900</xdr:colOff>
          <xdr:row>10</xdr:row>
          <xdr:rowOff>38100</xdr:rowOff>
        </xdr:to>
        <xdr:sp macro="" textlink="">
          <xdr:nvSpPr>
            <xdr:cNvPr id="2093" name="RefiYearOption_6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2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9</xdr:row>
          <xdr:rowOff>19050</xdr:rowOff>
        </xdr:from>
        <xdr:to>
          <xdr:col>18</xdr:col>
          <xdr:colOff>342900</xdr:colOff>
          <xdr:row>10</xdr:row>
          <xdr:rowOff>38100</xdr:rowOff>
        </xdr:to>
        <xdr:sp macro="" textlink="">
          <xdr:nvSpPr>
            <xdr:cNvPr id="2094" name="ExitYearOption_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2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10</xdr:row>
          <xdr:rowOff>19050</xdr:rowOff>
        </xdr:from>
        <xdr:to>
          <xdr:col>17</xdr:col>
          <xdr:colOff>342900</xdr:colOff>
          <xdr:row>11</xdr:row>
          <xdr:rowOff>38100</xdr:rowOff>
        </xdr:to>
        <xdr:sp macro="" textlink="">
          <xdr:nvSpPr>
            <xdr:cNvPr id="2095" name="RefiYearOption_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2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10</xdr:row>
          <xdr:rowOff>19050</xdr:rowOff>
        </xdr:from>
        <xdr:to>
          <xdr:col>18</xdr:col>
          <xdr:colOff>342900</xdr:colOff>
          <xdr:row>11</xdr:row>
          <xdr:rowOff>38100</xdr:rowOff>
        </xdr:to>
        <xdr:sp macro="" textlink="">
          <xdr:nvSpPr>
            <xdr:cNvPr id="2096" name="ExitYearOption_7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2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11</xdr:row>
          <xdr:rowOff>19050</xdr:rowOff>
        </xdr:from>
        <xdr:to>
          <xdr:col>17</xdr:col>
          <xdr:colOff>342900</xdr:colOff>
          <xdr:row>12</xdr:row>
          <xdr:rowOff>38100</xdr:rowOff>
        </xdr:to>
        <xdr:sp macro="" textlink="">
          <xdr:nvSpPr>
            <xdr:cNvPr id="2097" name="RefiYearOption_8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2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11</xdr:row>
          <xdr:rowOff>19050</xdr:rowOff>
        </xdr:from>
        <xdr:to>
          <xdr:col>18</xdr:col>
          <xdr:colOff>342900</xdr:colOff>
          <xdr:row>12</xdr:row>
          <xdr:rowOff>38100</xdr:rowOff>
        </xdr:to>
        <xdr:sp macro="" textlink="">
          <xdr:nvSpPr>
            <xdr:cNvPr id="2098" name="ExitYearOption_8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2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12</xdr:row>
          <xdr:rowOff>19050</xdr:rowOff>
        </xdr:from>
        <xdr:to>
          <xdr:col>17</xdr:col>
          <xdr:colOff>342900</xdr:colOff>
          <xdr:row>13</xdr:row>
          <xdr:rowOff>38100</xdr:rowOff>
        </xdr:to>
        <xdr:sp macro="" textlink="">
          <xdr:nvSpPr>
            <xdr:cNvPr id="2099" name="RefiYearOption_9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2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12</xdr:row>
          <xdr:rowOff>19050</xdr:rowOff>
        </xdr:from>
        <xdr:to>
          <xdr:col>18</xdr:col>
          <xdr:colOff>342900</xdr:colOff>
          <xdr:row>13</xdr:row>
          <xdr:rowOff>38100</xdr:rowOff>
        </xdr:to>
        <xdr:sp macro="" textlink="">
          <xdr:nvSpPr>
            <xdr:cNvPr id="2100" name="ExitYearOption_9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2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13</xdr:row>
          <xdr:rowOff>19050</xdr:rowOff>
        </xdr:from>
        <xdr:to>
          <xdr:col>17</xdr:col>
          <xdr:colOff>342900</xdr:colOff>
          <xdr:row>14</xdr:row>
          <xdr:rowOff>38100</xdr:rowOff>
        </xdr:to>
        <xdr:sp macro="" textlink="">
          <xdr:nvSpPr>
            <xdr:cNvPr id="2101" name="RefiYearOption_10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2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13</xdr:row>
          <xdr:rowOff>19050</xdr:rowOff>
        </xdr:from>
        <xdr:to>
          <xdr:col>18</xdr:col>
          <xdr:colOff>342900</xdr:colOff>
          <xdr:row>14</xdr:row>
          <xdr:rowOff>38100</xdr:rowOff>
        </xdr:to>
        <xdr:sp macro="" textlink="">
          <xdr:nvSpPr>
            <xdr:cNvPr id="2102" name="ExitYearOption_10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2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37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36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35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34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33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32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31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30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29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28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25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2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C19-B19</calculatedColumnFormula>
    </tableColumn>
    <tableColumn id="5" xr3:uid="{10FF1ED7-A502-4F2E-A54A-B0007AA7263A}" name="Year 1" dataDxfId="15">
      <calculatedColumnFormula>IFERROR(C19/B19,0)</calculatedColumnFormula>
    </tableColumn>
    <tableColumn id="6" xr3:uid="{ECDBC3DC-2987-4B43-8FA8-210E2BD2C527}" name="Year 2" dataDxfId="14">
      <calculatedColumnFormula>IFERROR(D19/B19,0)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table" Target="../tables/table2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opLeftCell="A12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0" ht="18.75" x14ac:dyDescent="0.3">
      <c r="A1" s="20" t="s">
        <v>0</v>
      </c>
      <c r="B1" s="13"/>
      <c r="C1" s="18" t="s">
        <v>1</v>
      </c>
    </row>
    <row r="2" spans="1:10" x14ac:dyDescent="0.25">
      <c r="A2" s="13"/>
      <c r="B2" s="13"/>
      <c r="C2" s="13"/>
    </row>
    <row r="3" spans="1:10" x14ac:dyDescent="0.25">
      <c r="A3" s="21" t="s">
        <v>2</v>
      </c>
      <c r="B3" s="13"/>
      <c r="C3" s="13"/>
    </row>
    <row r="4" spans="1:10" x14ac:dyDescent="0.25">
      <c r="A4" s="13" t="s">
        <v>3</v>
      </c>
      <c r="B4" s="15">
        <f>MAX(1,MIN(10,SelectedWaterfallRefiOption))</f>
        <v>3</v>
      </c>
      <c r="C4" s="18" t="s">
        <v>319</v>
      </c>
    </row>
    <row r="5" spans="1:10" x14ac:dyDescent="0.25">
      <c r="A5" s="13" t="s">
        <v>4</v>
      </c>
      <c r="B5" s="15">
        <f>MAX(1,MIN(10,SelectedWaterfallExitOption))</f>
        <v>5</v>
      </c>
      <c r="C5" s="18" t="s">
        <v>320</v>
      </c>
    </row>
    <row r="6" spans="1:10" x14ac:dyDescent="0.25">
      <c r="A6" s="13"/>
      <c r="B6" s="13"/>
      <c r="C6" s="13"/>
    </row>
    <row r="7" spans="1:10" x14ac:dyDescent="0.25">
      <c r="A7" s="21" t="s">
        <v>5</v>
      </c>
      <c r="B7" s="13"/>
      <c r="C7" s="13"/>
      <c r="D7" s="64" t="s">
        <v>281</v>
      </c>
      <c r="E7" s="64"/>
      <c r="F7" s="64"/>
      <c r="G7" s="64"/>
      <c r="H7" s="64"/>
      <c r="I7" s="64"/>
      <c r="J7" s="64"/>
    </row>
    <row r="8" spans="1:10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0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0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0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0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0" x14ac:dyDescent="0.25">
      <c r="A13" s="13" t="s">
        <v>14</v>
      </c>
      <c r="B13" s="22">
        <v>0.93</v>
      </c>
      <c r="C13" s="18" t="s">
        <v>15</v>
      </c>
    </row>
    <row r="14" spans="1:10" x14ac:dyDescent="0.25">
      <c r="A14" s="13" t="s">
        <v>16</v>
      </c>
      <c r="B14" s="22">
        <v>0.5</v>
      </c>
      <c r="C14" s="18" t="s">
        <v>17</v>
      </c>
    </row>
    <row r="15" spans="1:10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0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62" t="s">
        <v>53</v>
      </c>
      <c r="C48" s="63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65" t="s">
        <v>54</v>
      </c>
      <c r="B1" s="66"/>
      <c r="C1" s="66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105600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52800</v>
      </c>
      <c r="E5" s="13">
        <f>IF(AnnualModelTable[[#This Row],[Year]]&gt;SaleExitYear,0,AnnualModelTable[[#This Row],[Occupancy Effective Gross Income]]*OperatingExpenseRatio)</f>
        <v>24769.792114695338</v>
      </c>
      <c r="F5" s="13">
        <f>IF(AnnualModelTable[[#This Row],[Year]]&gt;SaleExitYear,0,AnnualModelTable[[#This Row],[Occupancy Effective Gross Income]]-AnnualModelTable[[#This Row],[Operating Expenses]])</f>
        <v>28030.207885304662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14218.207885304662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9000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5218.2078853046623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5218.2078853046623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129600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120528</v>
      </c>
      <c r="E6" s="13">
        <f>IF(AnnualModelTable[[#This Row],[Year]]&gt;SaleExitYear,0,AnnualModelTable[[#This Row],[Occupancy Effective Gross Income]]*OperatingExpenseRatio)</f>
        <v>56542.679999999993</v>
      </c>
      <c r="F6" s="13">
        <f>IF(AnnualModelTable[[#This Row],[Year]]&gt;SaleExitYear,0,AnnualModelTable[[#This Row],[Occupancy Effective Gross Income]]-AnnualModelTable[[#This Row],[Operating Expenses]])</f>
        <v>63985.320000000007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50173.320000000007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50173.320000000007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50173.320000000007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7" s="13">
        <f>IF(AnnualModelTable[[#This Row],[Year]]&gt;SaleExitYear,0,AnnualModelTable[[#This Row],[Occupancy Effective Gross Income]]*OperatingExpenseRatio)</f>
        <v>62825.2</v>
      </c>
      <c r="F7" s="13">
        <f>IF(AnnualModelTable[[#This Row],[Year]]&gt;SaleExitYear,0,AnnualModelTable[[#This Row],[Occupancy Effective Gross Income]]-AnnualModelTable[[#This Row],[Operating Expenses]])</f>
        <v>71094.8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15552.977350248344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553829.41735024843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553829.41735024843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1046109.2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8" s="13">
        <f>IF(AnnualModelTable[[#This Row],[Year]]&gt;SaleExitYear,0,AnnualModelTable[[#This Row],[Occupancy Effective Gross Income]]*OperatingExpenseRatio)</f>
        <v>62825.2</v>
      </c>
      <c r="F8" s="13">
        <f>IF(AnnualModelTable[[#This Row],[Year]]&gt;SaleExitYear,0,AnnualModelTable[[#This Row],[Occupancy Effective Gross Income]]-AnnualModelTable[[#This Row],[Operating Expenses]])</f>
        <v>71094.8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15552.977350248344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15552.977350248344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15552.977350248344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1046109.2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9" s="13">
        <f>IF(AnnualModelTable[[#This Row],[Year]]&gt;SaleExitYear,0,AnnualModelTable[[#This Row],[Occupancy Effective Gross Income]]*OperatingExpenseRatio)</f>
        <v>62825.2</v>
      </c>
      <c r="F9" s="13">
        <f>IF(AnnualModelTable[[#This Row],[Year]]&gt;SaleExitYear,0,AnnualModelTable[[#This Row],[Occupancy Effective Gross Income]]-AnnualModelTable[[#This Row],[Operating Expenses]])</f>
        <v>71094.8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15552.977350248344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1025187.0159999999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1040739.9933502483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1040739.9933502483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1046109.2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abSelected="1" workbookViewId="0">
      <selection activeCell="V10" sqref="V10"/>
    </sheetView>
  </sheetViews>
  <sheetFormatPr defaultRowHeight="15" x14ac:dyDescent="0.25"/>
  <cols>
    <col min="1" max="1" width="16.7109375" style="6" bestFit="1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140625" style="6" customWidth="1"/>
    <col min="8" max="8" width="9.42578125" style="6" customWidth="1"/>
    <col min="9" max="9" width="8.85546875" style="6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9.5703125" style="6" customWidth="1"/>
    <col min="16" max="16" width="10.28515625" style="6" customWidth="1"/>
    <col min="17" max="17" width="8.7109375" style="6" customWidth="1"/>
    <col min="18" max="18" width="9" style="6" bestFit="1" customWidth="1"/>
    <col min="19" max="19" width="8.7109375" style="6" bestFit="1" customWidth="1"/>
    <col min="20" max="16384" width="9.140625" style="6"/>
  </cols>
  <sheetData>
    <row r="1" spans="1:19" ht="18.75" x14ac:dyDescent="0.3">
      <c r="A1" s="65" t="s">
        <v>68</v>
      </c>
      <c r="B1" s="66"/>
      <c r="C1" s="66"/>
      <c r="D1" s="13"/>
      <c r="E1" s="13"/>
      <c r="F1" s="13"/>
      <c r="G1" s="13"/>
      <c r="H1" s="13"/>
      <c r="I1" s="13"/>
      <c r="J1" s="13"/>
      <c r="R1" s="13"/>
      <c r="S1" s="13"/>
    </row>
    <row r="2" spans="1:19" ht="15.75" thickBot="1" x14ac:dyDescent="0.3">
      <c r="A2" s="13"/>
      <c r="B2" s="13"/>
      <c r="C2" s="70" t="s">
        <v>267</v>
      </c>
      <c r="D2" s="68"/>
      <c r="E2" s="68"/>
      <c r="F2" s="68"/>
      <c r="G2" s="68"/>
      <c r="H2" s="68"/>
      <c r="I2" s="68"/>
      <c r="J2" s="67" t="s">
        <v>89</v>
      </c>
      <c r="K2" s="68"/>
      <c r="L2" s="68"/>
      <c r="M2" s="68"/>
      <c r="N2" s="69" t="s">
        <v>90</v>
      </c>
      <c r="O2" s="68"/>
      <c r="P2" s="68"/>
      <c r="R2" s="12" t="s">
        <v>317</v>
      </c>
      <c r="S2" s="12" t="s">
        <v>318</v>
      </c>
    </row>
    <row r="3" spans="1:19" s="23" customFormat="1" ht="45.75" thickBot="1" x14ac:dyDescent="0.3">
      <c r="A3" s="27" t="s">
        <v>55</v>
      </c>
      <c r="B3" s="27" t="s">
        <v>69</v>
      </c>
      <c r="C3" s="28" t="s">
        <v>301</v>
      </c>
      <c r="D3" s="28" t="s">
        <v>300</v>
      </c>
      <c r="E3" s="28" t="s">
        <v>302</v>
      </c>
      <c r="F3" s="28" t="s">
        <v>328</v>
      </c>
      <c r="G3" s="28" t="s">
        <v>327</v>
      </c>
      <c r="H3" s="28" t="s">
        <v>324</v>
      </c>
      <c r="I3" s="28" t="s">
        <v>325</v>
      </c>
      <c r="J3" s="27" t="s">
        <v>321</v>
      </c>
      <c r="K3" s="27" t="s">
        <v>322</v>
      </c>
      <c r="L3" s="27" t="s">
        <v>323</v>
      </c>
      <c r="M3" s="27" t="s">
        <v>326</v>
      </c>
      <c r="N3" s="29" t="s">
        <v>274</v>
      </c>
      <c r="O3" s="29" t="s">
        <v>275</v>
      </c>
      <c r="P3" s="29" t="s">
        <v>308</v>
      </c>
      <c r="R3" s="61">
        <v>3</v>
      </c>
      <c r="S3" s="61">
        <v>5</v>
      </c>
    </row>
    <row r="4" spans="1:19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100000</v>
      </c>
      <c r="C4" s="13">
        <f>IF(WaterfallTable[[#This Row],[Year]]&gt;SaleExitYear,0,WaterfallTable[[#This Row],[Capital Balance A]]*ClassAPreferredReturn)</f>
        <v>24000</v>
      </c>
      <c r="D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F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4" s="13">
        <f>IF(WaterfallTable[[#This Row],[Year]]&gt;SaleExitYear,0,IF(WaterfallTable[[#This Row],[Year]]=0,0,MIN(WaterfallTable[[#This Row],[Cash Available]],WaterfallTable[[#This Row],[Capital Balance A]])))</f>
        <v>0</v>
      </c>
      <c r="H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4" s="13">
        <f>IF(WaterfallTable[[#This Row],[Year]]&gt;SaleExitYear,0,WaterfallTable[[#This Row],[Pref Paid]]+WaterfallTable[[#This Row],[Capital Returned A]]+WaterfallTable[[#This Row],[Residual A]])</f>
        <v>0</v>
      </c>
      <c r="J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4" s="13">
        <f>IF(WaterfallTable[[#This Row],[Year]]&gt;SaleExitYear,0,WaterfallTable[[#This Row],[Capital Returned B]]+WaterfallTable[[#This Row],[ Residual   B]])</f>
        <v>0</v>
      </c>
      <c r="N4" s="13">
        <f>IF(WaterfallTable[[#This Row],[Year]]&gt;SaleExitYear,0,IF(WaterfallTable[[#This Row],[Year]]=0,SponsorPropertyPayment,0))</f>
        <v>100000</v>
      </c>
      <c r="O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4" s="13">
        <f>IF(WaterfallTable[[#This Row],[Year]]&gt;SaleExitYear,0,WaterfallTable[[#This Row],[Property Payment]]+WaterfallTable[[#This Row],[Residual]])</f>
        <v>100000</v>
      </c>
      <c r="R4" s="14"/>
    </row>
    <row r="5" spans="1:19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5218.2078853046623</v>
      </c>
      <c r="C5" s="13">
        <f>IF(WaterfallTable[[#This Row],[Year]]&gt;SaleExitYear,0,WaterfallTable[[#This Row],[Capital Balance A]]*ClassAPreferredReturn)</f>
        <v>24000</v>
      </c>
      <c r="D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F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5" s="13">
        <f>IF(WaterfallTable[[#This Row],[Year]]&gt;SaleExitYear,0,IF(WaterfallTable[[#This Row],[Year]]=0,0,MIN(WaterfallTable[[#This Row],[Cash Available]],WaterfallTable[[#This Row],[Capital Balance A]])))</f>
        <v>5218.2078853046623</v>
      </c>
      <c r="H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5" s="13">
        <f>IF(WaterfallTable[[#This Row],[Year]]&gt;SaleExitYear,0,WaterfallTable[[#This Row],[Pref Paid]]+WaterfallTable[[#This Row],[Capital Returned A]]+WaterfallTable[[#This Row],[Residual A]])</f>
        <v>5218.2078853046623</v>
      </c>
      <c r="J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5" s="13">
        <f>IF(WaterfallTable[[#This Row],[Year]]&gt;SaleExitYear,0,WaterfallTable[[#This Row],[Capital Returned B]]+WaterfallTable[[#This Row],[ Residual   B]])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</row>
    <row r="6" spans="1:19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50173.320000000007</v>
      </c>
      <c r="C6" s="13">
        <f>IF(WaterfallTable[[#This Row],[Year]]&gt;SaleExitYear,0,WaterfallTable[[#This Row],[Capital Balance A]]*ClassAPreferredReturn)</f>
        <v>23582.54336917563</v>
      </c>
      <c r="D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71582.543369175633</v>
      </c>
      <c r="F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294781.79211469536</v>
      </c>
      <c r="G6" s="13">
        <f>IF(WaterfallTable[[#This Row],[Year]]&gt;SaleExitYear,0,IF(WaterfallTable[[#This Row],[Year]]=0,0,MIN(WaterfallTable[[#This Row],[Cash Available]],WaterfallTable[[#This Row],[Capital Balance A]])))</f>
        <v>50173.320000000007</v>
      </c>
      <c r="H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6" s="13">
        <f>IF(WaterfallTable[[#This Row],[Year]]&gt;SaleExitYear,0,WaterfallTable[[#This Row],[Pref Paid]]+WaterfallTable[[#This Row],[Capital Returned A]]+WaterfallTable[[#This Row],[Residual A]])</f>
        <v>50173.320000000007</v>
      </c>
      <c r="J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6" s="13">
        <f>IF(WaterfallTable[[#This Row],[Year]]&gt;SaleExitYear,0,WaterfallTable[[#This Row],[Capital Returned B]]+WaterfallTable[[#This Row],[ Residual   B]])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</row>
    <row r="7" spans="1:19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553829.41735024843</v>
      </c>
      <c r="C7" s="13">
        <f>IF(WaterfallTable[[#This Row],[Year]]&gt;SaleExitYear,0,WaterfallTable[[#This Row],[Capital Balance A]]*ClassAPreferredReturn)</f>
        <v>19568.677769175629</v>
      </c>
      <c r="D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91151.221138351262</v>
      </c>
      <c r="F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244608.47211469535</v>
      </c>
      <c r="G7" s="13">
        <f>IF(WaterfallTable[[#This Row],[Year]]&gt;SaleExitYear,0,IF(WaterfallTable[[#This Row],[Year]]=0,0,MIN(WaterfallTable[[#This Row],[Cash Available]],WaterfallTable[[#This Row],[Capital Balance A]])))</f>
        <v>244608.47211469535</v>
      </c>
      <c r="H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7" s="13">
        <f>IF(WaterfallTable[[#This Row],[Year]]&gt;SaleExitYear,0,WaterfallTable[[#This Row],[Pref Paid]]+WaterfallTable[[#This Row],[Capital Returned A]]+WaterfallTable[[#This Row],[Residual A]])</f>
        <v>244608.47211469535</v>
      </c>
      <c r="J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309220.94523555308</v>
      </c>
      <c r="L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7" s="13">
        <f>IF(WaterfallTable[[#This Row],[Year]]&gt;SaleExitYear,0,WaterfallTable[[#This Row],[Capital Returned B]]+WaterfallTable[[#This Row],[ Residual   B]])</f>
        <v>309220.94523555308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</row>
    <row r="8" spans="1:19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15552.977350248344</v>
      </c>
      <c r="C8" s="13">
        <f>IF(WaterfallTable[[#This Row],[Year]]&gt;SaleExitYear,0,WaterfallTable[[#This Row],[Capital Balance A]]*ClassAPreferredReturn)</f>
        <v>0</v>
      </c>
      <c r="D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91151.221138351262</v>
      </c>
      <c r="F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8" s="13">
        <f>IF(WaterfallTable[[#This Row],[Year]]&gt;SaleExitYear,0,IF(WaterfallTable[[#This Row],[Year]]=0,0,MIN(WaterfallTable[[#This Row],[Cash Available]],WaterfallTable[[#This Row],[Capital Balance A]])))</f>
        <v>0</v>
      </c>
      <c r="H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8" s="13">
        <f>IF(WaterfallTable[[#This Row],[Year]]&gt;SaleExitYear,0,WaterfallTable[[#This Row],[Pref Paid]]+WaterfallTable[[#This Row],[Capital Returned A]]+WaterfallTable[[#This Row],[Residual A]])</f>
        <v>0</v>
      </c>
      <c r="J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238279.05476444692</v>
      </c>
      <c r="K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15552.977350248344</v>
      </c>
      <c r="L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8" s="13">
        <f>IF(WaterfallTable[[#This Row],[Year]]&gt;SaleExitYear,0,WaterfallTable[[#This Row],[Capital Returned B]]+WaterfallTable[[#This Row],[ Residual   B]])</f>
        <v>15552.977350248344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19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1040739.9933502483</v>
      </c>
      <c r="C9" s="13">
        <f>IF(WaterfallTable[[#This Row],[Year]]&gt;SaleExitYear,0,WaterfallTable[[#This Row],[Capital Balance A]]*ClassAPreferredReturn)</f>
        <v>0</v>
      </c>
      <c r="D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91151.221138351262</v>
      </c>
      <c r="E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9" s="13">
        <f>IF(WaterfallTable[[#This Row],[Year]]&gt;SaleExitYear,0,IF(WaterfallTable[[#This Row],[Year]]=0,0,MIN(WaterfallTable[[#This Row],[Cash Available]],WaterfallTable[[#This Row],[Capital Balance A]])))</f>
        <v>0</v>
      </c>
      <c r="H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128648.26456596435</v>
      </c>
      <c r="I9" s="13">
        <f>IF(WaterfallTable[[#This Row],[Year]]&gt;SaleExitYear,0,WaterfallTable[[#This Row],[Pref Paid]]+WaterfallTable[[#This Row],[Capital Returned A]]+WaterfallTable[[#This Row],[Residual A]])</f>
        <v>219799.48570431559</v>
      </c>
      <c r="J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222726.07741419857</v>
      </c>
      <c r="K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222726.07741419857</v>
      </c>
      <c r="L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234783.08283288492</v>
      </c>
      <c r="M9" s="13">
        <f>IF(WaterfallTable[[#This Row],[Year]]&gt;SaleExitYear,0,WaterfallTable[[#This Row],[Capital Returned B]]+WaterfallTable[[#This Row],[ Residual   B]])</f>
        <v>457509.16024708352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363431.34739884926</v>
      </c>
      <c r="P9" s="13">
        <f>IF(WaterfallTable[[#This Row],[Year]]&gt;SaleExitYear,0,WaterfallTable[[#This Row],[Property Payment]]+WaterfallTable[[#This Row],[Residual]])</f>
        <v>363431.34739884926</v>
      </c>
      <c r="R9" s="14"/>
    </row>
    <row r="10" spans="1:19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Row],[Capital Balance A]]*ClassAPreferredReturn)</f>
        <v>0</v>
      </c>
      <c r="D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0" s="13">
        <f>IF(WaterfallTable[[#This Row],[Year]]&gt;SaleExitYear,0,IF(WaterfallTable[[#This Row],[Year]]=0,0,MIN(WaterfallTable[[#This Row],[Cash Available]],WaterfallTable[[#This Row],[Capital Balance A]])))</f>
        <v>0</v>
      </c>
      <c r="H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0" s="13">
        <f>IF(WaterfallTable[[#This Row],[Year]]&gt;SaleExitYear,0,WaterfallTable[[#This Row],[Pref Paid]]+WaterfallTable[[#This Row],[Capital Returned A]]+WaterfallTable[[#This Row],[Residual A]])</f>
        <v>0</v>
      </c>
      <c r="J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0" s="13">
        <f>IF(WaterfallTable[[#This Row],[Year]]&gt;SaleExitYear,0,WaterfallTable[[#This Row],[Capital Returned B]]+WaterfallTable[[#This Row],[ Residual   B]])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19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Row],[Capital Balance A]]*ClassAPreferredReturn)</f>
        <v>0</v>
      </c>
      <c r="D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1" s="13">
        <f>IF(WaterfallTable[[#This Row],[Year]]&gt;SaleExitYear,0,IF(WaterfallTable[[#This Row],[Year]]=0,0,MIN(WaterfallTable[[#This Row],[Cash Available]],WaterfallTable[[#This Row],[Capital Balance A]])))</f>
        <v>0</v>
      </c>
      <c r="H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1" s="13">
        <f>IF(WaterfallTable[[#This Row],[Year]]&gt;SaleExitYear,0,WaterfallTable[[#This Row],[Pref Paid]]+WaterfallTable[[#This Row],[Capital Returned A]]+WaterfallTable[[#This Row],[Residual A]])</f>
        <v>0</v>
      </c>
      <c r="J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1" s="13">
        <f>IF(WaterfallTable[[#This Row],[Year]]&gt;SaleExitYear,0,WaterfallTable[[#This Row],[Capital Returned B]]+WaterfallTable[[#This Row],[ Residual   B]])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19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Row],[Capital Balance A]]*ClassAPreferredReturn)</f>
        <v>0</v>
      </c>
      <c r="D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2" s="13">
        <f>IF(WaterfallTable[[#This Row],[Year]]&gt;SaleExitYear,0,IF(WaterfallTable[[#This Row],[Year]]=0,0,MIN(WaterfallTable[[#This Row],[Cash Available]],WaterfallTable[[#This Row],[Capital Balance A]])))</f>
        <v>0</v>
      </c>
      <c r="H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2" s="13">
        <f>IF(WaterfallTable[[#This Row],[Year]]&gt;SaleExitYear,0,WaterfallTable[[#This Row],[Pref Paid]]+WaterfallTable[[#This Row],[Capital Returned A]]+WaterfallTable[[#This Row],[Residual A]])</f>
        <v>0</v>
      </c>
      <c r="J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2" s="13">
        <f>IF(WaterfallTable[[#This Row],[Year]]&gt;SaleExitYear,0,WaterfallTable[[#This Row],[Capital Returned B]]+WaterfallTable[[#This Row],[ Residual   B]])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19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Row],[Capital Balance A]]*ClassAPreferredReturn)</f>
        <v>0</v>
      </c>
      <c r="D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3" s="13">
        <f>IF(WaterfallTable[[#This Row],[Year]]&gt;SaleExitYear,0,IF(WaterfallTable[[#This Row],[Year]]=0,0,MIN(WaterfallTable[[#This Row],[Cash Available]],WaterfallTable[[#This Row],[Capital Balance A]])))</f>
        <v>0</v>
      </c>
      <c r="H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3" s="13">
        <f>IF(WaterfallTable[[#This Row],[Year]]&gt;SaleExitYear,0,WaterfallTable[[#This Row],[Pref Paid]]+WaterfallTable[[#This Row],[Capital Returned A]]+WaterfallTable[[#This Row],[Residual A]])</f>
        <v>0</v>
      </c>
      <c r="J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3" s="13">
        <f>IF(WaterfallTable[[#This Row],[Year]]&gt;SaleExitYear,0,WaterfallTable[[#This Row],[Capital Returned B]]+WaterfallTable[[#This Row],[ Residual   B]])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19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Row],[Capital Balance A]]*ClassAPreferredReturn)</f>
        <v>0</v>
      </c>
      <c r="D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4" s="13">
        <f>IF(WaterfallTable[[#This Row],[Year]]&gt;SaleExitYear,0,IF(WaterfallTable[[#This Row],[Year]]=0,0,MIN(WaterfallTable[[#This Row],[Cash Available]],WaterfallTable[[#This Row],[Capital Balance A]])))</f>
        <v>0</v>
      </c>
      <c r="H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4" s="13">
        <f>IF(WaterfallTable[[#This Row],[Year]]&gt;SaleExitYear,0,WaterfallTable[[#This Row],[Pref Paid]]+WaterfallTable[[#This Row],[Capital Returned A]]+WaterfallTable[[#This Row],[Residual A]])</f>
        <v>0</v>
      </c>
      <c r="J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4" s="13">
        <f>IF(WaterfallTable[[#This Row],[Year]]&gt;SaleExitYear,0,WaterfallTable[[#This Row],[Capital Returned B]]+WaterfallTable[[#This Row],[ Residual   B]])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269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ht="45" x14ac:dyDescent="0.25">
      <c r="A18" s="57" t="s">
        <v>70</v>
      </c>
      <c r="B18" s="58" t="s">
        <v>305</v>
      </c>
      <c r="C18" s="58" t="s">
        <v>306</v>
      </c>
      <c r="D18" s="58" t="s">
        <v>307</v>
      </c>
      <c r="E18" s="58" t="s">
        <v>78</v>
      </c>
      <c r="F18" s="58" t="s">
        <v>79</v>
      </c>
      <c r="G18" s="58" t="s">
        <v>80</v>
      </c>
      <c r="H18" s="58" t="s">
        <v>81</v>
      </c>
      <c r="I18" s="58" t="s">
        <v>82</v>
      </c>
      <c r="J18" s="58" t="s">
        <v>83</v>
      </c>
      <c r="K18" s="58" t="s">
        <v>84</v>
      </c>
      <c r="L18" s="58" t="s">
        <v>85</v>
      </c>
      <c r="M18" s="58" t="s">
        <v>86</v>
      </c>
      <c r="N18" s="58" t="s">
        <v>87</v>
      </c>
      <c r="O18" s="58" t="s">
        <v>298</v>
      </c>
      <c r="P18" s="58" t="s">
        <v>299</v>
      </c>
      <c r="Q18" s="58" t="s">
        <v>74</v>
      </c>
      <c r="R18" s="59" t="s">
        <v>75</v>
      </c>
      <c r="S18" s="58" t="s">
        <v>76</v>
      </c>
    </row>
    <row r="19" spans="1:19" x14ac:dyDescent="0.25">
      <c r="A19" s="49" t="s">
        <v>88</v>
      </c>
      <c r="B19" s="41">
        <f>ClassACapital</f>
        <v>300000</v>
      </c>
      <c r="C19" s="41">
        <f>ClassACapital</f>
        <v>300000</v>
      </c>
      <c r="D19" s="41">
        <f>-ReturnsTable[[#This Row],[Capital Investment]]</f>
        <v>-300000</v>
      </c>
      <c r="E19" s="41">
        <f>IF(1&gt;SaleExitYear,0,INDEX(WaterfallTable[Total Dist A],MATCH(1,WaterfallTable[Year],0)))</f>
        <v>5218.2078853046623</v>
      </c>
      <c r="F19" s="41">
        <f>IF(2&gt;SaleExitYear,0,INDEX(WaterfallTable[Total Dist A],MATCH(2,WaterfallTable[Year],0)))</f>
        <v>50173.320000000007</v>
      </c>
      <c r="G19" s="41">
        <f>IF(3&gt;SaleExitYear,0,INDEX(WaterfallTable[Total Dist A],MATCH(3,WaterfallTable[Year],0)))</f>
        <v>244608.47211469535</v>
      </c>
      <c r="H19" s="41">
        <f>IF(4&gt;SaleExitYear,0,INDEX(WaterfallTable[Total Dist A],MATCH(4,WaterfallTable[Year],0)))</f>
        <v>0</v>
      </c>
      <c r="I19" s="41">
        <f>IF(5&gt;SaleExitYear,0,INDEX(WaterfallTable[Total Dist A],MATCH(5,WaterfallTable[Year],0)))</f>
        <v>219799.48570431559</v>
      </c>
      <c r="J19" s="41">
        <f>IF(6&gt;SaleExitYear,0,INDEX(WaterfallTable[Total Dist A],MATCH(6,WaterfallTable[Year],0)))</f>
        <v>0</v>
      </c>
      <c r="K19" s="41">
        <f>IF(7&gt;SaleExitYear,0,INDEX(WaterfallTable[Total Dist A],MATCH(7,WaterfallTable[Year],0)))</f>
        <v>0</v>
      </c>
      <c r="L19" s="41">
        <f>IF(8&gt;SaleExitYear,0,INDEX(WaterfallTable[Total Dist A],MATCH(8,WaterfallTable[Year],0)))</f>
        <v>0</v>
      </c>
      <c r="M19" s="41">
        <f>IF(9&gt;SaleExitYear,0,INDEX(WaterfallTable[Total Dist A],MATCH(9,WaterfallTable[Year],0)))</f>
        <v>0</v>
      </c>
      <c r="N19" s="41">
        <f>IF(10&gt;SaleExitYear,0,INDEX(WaterfallTable[Total Dist A],MATCH(10,WaterfallTable[Year],0)))</f>
        <v>0</v>
      </c>
      <c r="O19" s="41">
        <f>SUM(ReturnsTable[[#This Row],[Initial Capitalization]:[Year 10]])</f>
        <v>219799.48570431559</v>
      </c>
      <c r="P19" s="41">
        <f>ReturnsTable[[#This Row],[Total Profit]]+ReturnsTable[[#This Row],[Capital Investment]]</f>
        <v>519799.48570431559</v>
      </c>
      <c r="Q19" s="42">
        <f>IFERROR(ReturnsTable[[#This Row],[Total Dist]]/ReturnsTable[[#This Row],[Capital Investment]],0)</f>
        <v>1.7326649523477187</v>
      </c>
      <c r="R19" s="53">
        <f>IFERROR(ReturnsTable[[#This Row],[Total Profit]]/ReturnsTable[[#This Row],[Capital Investment]],0)</f>
        <v>0.73266495234771867</v>
      </c>
      <c r="S19" s="60">
        <f>IFERROR(IRR(ReturnsTable[[#This Row],[Initial Capitalization]:[Year 10]]),0)</f>
        <v>0.1634264838474333</v>
      </c>
    </row>
    <row r="20" spans="1:19" x14ac:dyDescent="0.25">
      <c r="A20" s="50" t="s">
        <v>89</v>
      </c>
      <c r="B20" s="43">
        <f>ClassBCapital</f>
        <v>547500</v>
      </c>
      <c r="C20" s="43">
        <f>ClassBCapital</f>
        <v>547500</v>
      </c>
      <c r="D20" s="43">
        <f>-ReturnsTable[[#This Row],[Capital Investment]]</f>
        <v>-547500</v>
      </c>
      <c r="E20" s="43">
        <f>IF(1&gt;SaleExitYear,0,INDEX(WaterfallTable[Total Dist B],MATCH(1,WaterfallTable[Year],0)))</f>
        <v>0</v>
      </c>
      <c r="F20" s="43">
        <f>IF(2&gt;SaleExitYear,0,INDEX(WaterfallTable[Total Dist B],MATCH(2,WaterfallTable[Year],0)))</f>
        <v>0</v>
      </c>
      <c r="G20" s="43">
        <f>IF(3&gt;SaleExitYear,0,INDEX(WaterfallTable[Total Dist B],MATCH(3,WaterfallTable[Year],0)))</f>
        <v>309220.94523555308</v>
      </c>
      <c r="H20" s="43">
        <f>IF(4&gt;SaleExitYear,0,INDEX(WaterfallTable[Total Dist B],MATCH(4,WaterfallTable[Year],0)))</f>
        <v>15552.977350248344</v>
      </c>
      <c r="I20" s="43">
        <f>IF(5&gt;SaleExitYear,0,INDEX(WaterfallTable[Total Dist B],MATCH(5,WaterfallTable[Year],0)))</f>
        <v>457509.16024708352</v>
      </c>
      <c r="J20" s="43">
        <f>IF(6&gt;SaleExitYear,0,INDEX(WaterfallTable[Total Dist B],MATCH(6,WaterfallTable[Year],0)))</f>
        <v>0</v>
      </c>
      <c r="K20" s="43">
        <f>IF(7&gt;SaleExitYear,0,INDEX(WaterfallTable[Total Dist B],MATCH(7,WaterfallTable[Year],0)))</f>
        <v>0</v>
      </c>
      <c r="L20" s="43">
        <f>IF(8&gt;SaleExitYear,0,INDEX(WaterfallTable[Total Dist B],MATCH(8,WaterfallTable[Year],0)))</f>
        <v>0</v>
      </c>
      <c r="M20" s="43">
        <f>IF(9&gt;SaleExitYear,0,INDEX(WaterfallTable[Total Dist B],MATCH(9,WaterfallTable[Year],0)))</f>
        <v>0</v>
      </c>
      <c r="N20" s="43">
        <f>IF(10&gt;SaleExitYear,0,INDEX(WaterfallTable[Total Dist B],MATCH(10,WaterfallTable[Year],0)))</f>
        <v>0</v>
      </c>
      <c r="O20" s="43">
        <f>SUM(ReturnsTable[[#This Row],[Initial Capitalization]:[Year 10]])</f>
        <v>234783.08283288495</v>
      </c>
      <c r="P20" s="43">
        <f>ReturnsTable[[#This Row],[Total Profit]]+ReturnsTable[[#This Row],[Capital Investment]]</f>
        <v>782283.08283288497</v>
      </c>
      <c r="Q20" s="44">
        <f>IFERROR(ReturnsTable[[#This Row],[Total Dist]]/ReturnsTable[[#This Row],[Capital Investment]],0)</f>
        <v>1.4288275485532145</v>
      </c>
      <c r="R20" s="54">
        <f>IFERROR(ReturnsTable[[#This Row],[Total Profit]]/ReturnsTable[[#This Row],[Capital Investment]],0)</f>
        <v>0.42882754855321453</v>
      </c>
      <c r="S20" s="60">
        <f>IFERROR(IRR(ReturnsTable[[#This Row],[Initial Capitalization]:[Year 10]]),0)</f>
        <v>8.9826902125470953E-2</v>
      </c>
    </row>
    <row r="21" spans="1:19" x14ac:dyDescent="0.25">
      <c r="A21" s="51" t="s">
        <v>90</v>
      </c>
      <c r="B21" s="45">
        <f>SponsorCapitalInvestment</f>
        <v>136283</v>
      </c>
      <c r="C21" s="45">
        <f>SponsorBasis</f>
        <v>100000</v>
      </c>
      <c r="D21" s="45">
        <f>INDEX(WaterfallTable[Total Dist2],MATCH(0,WaterfallTable[Year],0))-ReturnsTable[[#This Row],[Capital Investment]]</f>
        <v>-36283</v>
      </c>
      <c r="E21" s="45">
        <f>IF(1&gt;SaleExitYear,0,INDEX(WaterfallTable[Total Dist2],MATCH(1,WaterfallTable[Year],0)))</f>
        <v>0</v>
      </c>
      <c r="F21" s="45">
        <f>IF(2&gt;SaleExitYear,0,INDEX(WaterfallTable[Total Dist2],MATCH(2,WaterfallTable[Year],0)))</f>
        <v>0</v>
      </c>
      <c r="G21" s="45">
        <f>IF(3&gt;SaleExitYear,0,INDEX(WaterfallTable[Total Dist2],MATCH(3,WaterfallTable[Year],0)))</f>
        <v>0</v>
      </c>
      <c r="H21" s="45">
        <f>IF(4&gt;SaleExitYear,0,INDEX(WaterfallTable[Total Dist2],MATCH(4,WaterfallTable[Year],0)))</f>
        <v>0</v>
      </c>
      <c r="I21" s="45">
        <f>IF(5&gt;SaleExitYear,0,INDEX(WaterfallTable[Total Dist2],MATCH(5,WaterfallTable[Year],0)))</f>
        <v>363431.34739884926</v>
      </c>
      <c r="J21" s="45">
        <f>IF(6&gt;SaleExitYear,0,INDEX(WaterfallTable[Total Dist2],MATCH(6,WaterfallTable[Year],0)))</f>
        <v>0</v>
      </c>
      <c r="K21" s="45">
        <f>IF(7&gt;SaleExitYear,0,INDEX(WaterfallTable[Total Dist2],MATCH(7,WaterfallTable[Year],0)))</f>
        <v>0</v>
      </c>
      <c r="L21" s="45">
        <f>IF(8&gt;SaleExitYear,0,INDEX(WaterfallTable[Total Dist2],MATCH(8,WaterfallTable[Year],0)))</f>
        <v>0</v>
      </c>
      <c r="M21" s="45">
        <f>IF(9&gt;SaleExitYear,0,INDEX(WaterfallTable[Total Dist2],MATCH(9,WaterfallTable[Year],0)))</f>
        <v>0</v>
      </c>
      <c r="N21" s="45">
        <f>IF(10&gt;SaleExitYear,0,INDEX(WaterfallTable[Total Dist2],MATCH(10,WaterfallTable[Year],0)))</f>
        <v>0</v>
      </c>
      <c r="O21" s="45">
        <f>SUM(ReturnsTable[[#This Row],[Initial Capitalization]:[Year 10]])</f>
        <v>327148.34739884926</v>
      </c>
      <c r="P21" s="45">
        <f>ReturnsTable[[#This Row],[Total Profit]]+ReturnsTable[[#This Row],[Capital Investment]]</f>
        <v>463431.34739884926</v>
      </c>
      <c r="Q21" s="46">
        <f>IFERROR(ReturnsTable[[#This Row],[Total Dist]]/ReturnsTable[[#This Row],[Capital Investment]],0)</f>
        <v>3.4005073809561668</v>
      </c>
      <c r="R21" s="55">
        <f>IFERROR(ReturnsTable[[#This Row],[Total Profit]]/ReturnsTable[[#This Row],[Capital Investment]],0)</f>
        <v>2.4005073809561668</v>
      </c>
      <c r="S21" s="60">
        <f>IFERROR(IRR(ReturnsTable[[#This Row],[Initial Capitalization]:[Year 10]]),0)</f>
        <v>0.58541819876459078</v>
      </c>
    </row>
    <row r="22" spans="1:19" x14ac:dyDescent="0.25">
      <c r="A22" s="52" t="s">
        <v>288</v>
      </c>
      <c r="B22" s="47">
        <f>0</f>
        <v>0</v>
      </c>
      <c r="C22" s="47">
        <f>0</f>
        <v>0</v>
      </c>
      <c r="D22" s="47">
        <f>0</f>
        <v>0</v>
      </c>
      <c r="E22" s="47">
        <f>IF(1&gt;SaleExitYear,0,ManagementFeeRate*INDEX(AnnualModelTable[Occupancy Effective Gross Income],MATCH(1,AnnualModelTable[Year],0)))</f>
        <v>3168</v>
      </c>
      <c r="F22" s="47">
        <f>IF(2&gt;SaleExitYear,0,ManagementFeeRate*INDEX(AnnualModelTable[Occupancy Effective Gross Income],MATCH(2,AnnualModelTable[Year],0)))</f>
        <v>7231.6799999999994</v>
      </c>
      <c r="G22" s="47">
        <f>IF(3&gt;SaleExitYear,0,ManagementFeeRate*INDEX(AnnualModelTable[Occupancy Effective Gross Income],MATCH(3,AnnualModelTable[Year],0)))</f>
        <v>8035.2</v>
      </c>
      <c r="H22" s="47">
        <f>IF(4&gt;SaleExitYear,0,ManagementFeeRate*INDEX(AnnualModelTable[Occupancy Effective Gross Income],MATCH(4,AnnualModelTable[Year],0)))</f>
        <v>8035.2</v>
      </c>
      <c r="I22" s="47">
        <f>IF(5&gt;SaleExitYear,0,ManagementFeeRate*INDEX(AnnualModelTable[Occupancy Effective Gross Income],MATCH(5,AnnualModelTable[Year],0)))</f>
        <v>8035.2</v>
      </c>
      <c r="J22" s="47">
        <f>IF(6&gt;SaleExitYear,0,ManagementFeeRate*INDEX(AnnualModelTable[Occupancy Effective Gross Income],MATCH(6,AnnualModelTable[Year],0)))</f>
        <v>0</v>
      </c>
      <c r="K22" s="47">
        <f>IF(7&gt;SaleExitYear,0,ManagementFeeRate*INDEX(AnnualModelTable[Occupancy Effective Gross Income],MATCH(7,AnnualModelTable[Year],0)))</f>
        <v>0</v>
      </c>
      <c r="L22" s="47">
        <f>IF(8&gt;SaleExitYear,0,ManagementFeeRate*INDEX(AnnualModelTable[Occupancy Effective Gross Income],MATCH(8,AnnualModelTable[Year],0)))</f>
        <v>0</v>
      </c>
      <c r="M22" s="47">
        <f>IF(9&gt;SaleExitYear,0,ManagementFeeRate*INDEX(AnnualModelTable[Occupancy Effective Gross Income],MATCH(9,AnnualModelTable[Year],0)))</f>
        <v>0</v>
      </c>
      <c r="N22" s="47">
        <f>IF(10&gt;SaleExitYear,0,ManagementFeeRate*INDEX(AnnualModelTable[Occupancy Effective Gross Income],MATCH(10,AnnualModelTable[Year],0)))</f>
        <v>0</v>
      </c>
      <c r="O22" s="47">
        <f>SUM(ReturnsTable[[#This Row],[Initial Capitalization]:[Year 10]])</f>
        <v>34505.279999999999</v>
      </c>
      <c r="P22" s="47">
        <f>ReturnsTable[[#This Row],[Total Profit]]</f>
        <v>34505.279999999999</v>
      </c>
      <c r="Q22" s="48">
        <f>0</f>
        <v>0</v>
      </c>
      <c r="R22" s="56">
        <f>0</f>
        <v>0</v>
      </c>
      <c r="S22" s="60">
        <f>0</f>
        <v>0</v>
      </c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A1:C1"/>
    <mergeCell ref="J2:M2"/>
    <mergeCell ref="N2:P2"/>
    <mergeCell ref="C2:I2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81" r:id="rId4" name="RefiYearGroup">
              <controlPr defaultSize="0" autoPict="0">
                <anchor moveWithCells="1">
                  <from>
                    <xdr:col>17</xdr:col>
                    <xdr:colOff>9525</xdr:colOff>
                    <xdr:row>3</xdr:row>
                    <xdr:rowOff>0</xdr:rowOff>
                  </from>
                  <to>
                    <xdr:col>17</xdr:col>
                    <xdr:colOff>581025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5" name="ExitYearGroup">
              <controlPr defaultSize="0" autoPict="0">
                <anchor moveWithCells="1">
                  <from>
                    <xdr:col>18</xdr:col>
                    <xdr:colOff>0</xdr:colOff>
                    <xdr:row>3</xdr:row>
                    <xdr:rowOff>0</xdr:rowOff>
                  </from>
                  <to>
                    <xdr:col>18</xdr:col>
                    <xdr:colOff>571500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6" name="RefiYearOption_1">
              <controlPr defaultSize="0" autoFill="0" autoLine="0" autoPict="0">
                <anchor moveWithCells="1">
                  <from>
                    <xdr:col>17</xdr:col>
                    <xdr:colOff>47625</xdr:colOff>
                    <xdr:row>4</xdr:row>
                    <xdr:rowOff>19050</xdr:rowOff>
                  </from>
                  <to>
                    <xdr:col>17</xdr:col>
                    <xdr:colOff>342900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7" name="ExitYearOption_1">
              <controlPr defaultSize="0" autoFill="0" autoLine="0" autoPict="0">
                <anchor moveWithCells="1">
                  <from>
                    <xdr:col>18</xdr:col>
                    <xdr:colOff>47625</xdr:colOff>
                    <xdr:row>4</xdr:row>
                    <xdr:rowOff>19050</xdr:rowOff>
                  </from>
                  <to>
                    <xdr:col>18</xdr:col>
                    <xdr:colOff>342900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8" name="RefiYearOption_2">
              <controlPr defaultSize="0" autoFill="0" autoLine="0" autoPict="0">
                <anchor moveWithCells="1">
                  <from>
                    <xdr:col>17</xdr:col>
                    <xdr:colOff>47625</xdr:colOff>
                    <xdr:row>5</xdr:row>
                    <xdr:rowOff>19050</xdr:rowOff>
                  </from>
                  <to>
                    <xdr:col>17</xdr:col>
                    <xdr:colOff>342900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9" name="ExitYearOption_2">
              <controlPr defaultSize="0" autoFill="0" autoLine="0" autoPict="0">
                <anchor moveWithCells="1">
                  <from>
                    <xdr:col>18</xdr:col>
                    <xdr:colOff>47625</xdr:colOff>
                    <xdr:row>5</xdr:row>
                    <xdr:rowOff>19050</xdr:rowOff>
                  </from>
                  <to>
                    <xdr:col>18</xdr:col>
                    <xdr:colOff>342900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10" name="RefiYearOption_3">
              <controlPr defaultSize="0" autoFill="0" autoLine="0" autoPict="0">
                <anchor moveWithCells="1">
                  <from>
                    <xdr:col>17</xdr:col>
                    <xdr:colOff>47625</xdr:colOff>
                    <xdr:row>6</xdr:row>
                    <xdr:rowOff>19050</xdr:rowOff>
                  </from>
                  <to>
                    <xdr:col>17</xdr:col>
                    <xdr:colOff>342900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11" name="ExitYearOption_3">
              <controlPr defaultSize="0" autoFill="0" autoLine="0" autoPict="0">
                <anchor moveWithCells="1">
                  <from>
                    <xdr:col>18</xdr:col>
                    <xdr:colOff>47625</xdr:colOff>
                    <xdr:row>6</xdr:row>
                    <xdr:rowOff>19050</xdr:rowOff>
                  </from>
                  <to>
                    <xdr:col>18</xdr:col>
                    <xdr:colOff>342900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12" name="RefiYearOption_4">
              <controlPr defaultSize="0" autoFill="0" autoLine="0" autoPict="0">
                <anchor moveWithCells="1">
                  <from>
                    <xdr:col>17</xdr:col>
                    <xdr:colOff>47625</xdr:colOff>
                    <xdr:row>7</xdr:row>
                    <xdr:rowOff>19050</xdr:rowOff>
                  </from>
                  <to>
                    <xdr:col>17</xdr:col>
                    <xdr:colOff>342900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13" name="ExitYearOption_4">
              <controlPr defaultSize="0" autoFill="0" autoLine="0" autoPict="0">
                <anchor moveWithCells="1">
                  <from>
                    <xdr:col>18</xdr:col>
                    <xdr:colOff>47625</xdr:colOff>
                    <xdr:row>7</xdr:row>
                    <xdr:rowOff>19050</xdr:rowOff>
                  </from>
                  <to>
                    <xdr:col>18</xdr:col>
                    <xdr:colOff>342900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14" name="RefiYearOption_5">
              <controlPr defaultSize="0" autoFill="0" autoLine="0" autoPict="0">
                <anchor moveWithCells="1">
                  <from>
                    <xdr:col>17</xdr:col>
                    <xdr:colOff>47625</xdr:colOff>
                    <xdr:row>8</xdr:row>
                    <xdr:rowOff>19050</xdr:rowOff>
                  </from>
                  <to>
                    <xdr:col>17</xdr:col>
                    <xdr:colOff>342900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15" name="ExitYearOption_5">
              <controlPr defaultSize="0" autoFill="0" autoLine="0" autoPict="0">
                <anchor moveWithCells="1">
                  <from>
                    <xdr:col>18</xdr:col>
                    <xdr:colOff>47625</xdr:colOff>
                    <xdr:row>8</xdr:row>
                    <xdr:rowOff>19050</xdr:rowOff>
                  </from>
                  <to>
                    <xdr:col>18</xdr:col>
                    <xdr:colOff>342900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16" name="RefiYearOption_6">
              <controlPr defaultSize="0" autoFill="0" autoLine="0" autoPict="0">
                <anchor moveWithCells="1">
                  <from>
                    <xdr:col>17</xdr:col>
                    <xdr:colOff>47625</xdr:colOff>
                    <xdr:row>9</xdr:row>
                    <xdr:rowOff>19050</xdr:rowOff>
                  </from>
                  <to>
                    <xdr:col>17</xdr:col>
                    <xdr:colOff>342900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17" name="ExitYearOption_6">
              <controlPr defaultSize="0" autoFill="0" autoLine="0" autoPict="0">
                <anchor moveWithCells="1">
                  <from>
                    <xdr:col>18</xdr:col>
                    <xdr:colOff>47625</xdr:colOff>
                    <xdr:row>9</xdr:row>
                    <xdr:rowOff>19050</xdr:rowOff>
                  </from>
                  <to>
                    <xdr:col>18</xdr:col>
                    <xdr:colOff>342900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18" name="RefiYearOption_7">
              <controlPr defaultSize="0" autoFill="0" autoLine="0" autoPict="0">
                <anchor moveWithCells="1">
                  <from>
                    <xdr:col>17</xdr:col>
                    <xdr:colOff>47625</xdr:colOff>
                    <xdr:row>10</xdr:row>
                    <xdr:rowOff>19050</xdr:rowOff>
                  </from>
                  <to>
                    <xdr:col>17</xdr:col>
                    <xdr:colOff>342900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19" name="ExitYearOption_7">
              <controlPr defaultSize="0" autoFill="0" autoLine="0" autoPict="0">
                <anchor moveWithCells="1">
                  <from>
                    <xdr:col>18</xdr:col>
                    <xdr:colOff>47625</xdr:colOff>
                    <xdr:row>10</xdr:row>
                    <xdr:rowOff>19050</xdr:rowOff>
                  </from>
                  <to>
                    <xdr:col>18</xdr:col>
                    <xdr:colOff>342900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20" name="RefiYearOption_8">
              <controlPr defaultSize="0" autoFill="0" autoLine="0" autoPict="0">
                <anchor moveWithCells="1">
                  <from>
                    <xdr:col>17</xdr:col>
                    <xdr:colOff>47625</xdr:colOff>
                    <xdr:row>11</xdr:row>
                    <xdr:rowOff>19050</xdr:rowOff>
                  </from>
                  <to>
                    <xdr:col>17</xdr:col>
                    <xdr:colOff>342900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21" name="ExitYearOption_8">
              <controlPr defaultSize="0" autoFill="0" autoLine="0" autoPict="0">
                <anchor moveWithCells="1">
                  <from>
                    <xdr:col>18</xdr:col>
                    <xdr:colOff>47625</xdr:colOff>
                    <xdr:row>11</xdr:row>
                    <xdr:rowOff>19050</xdr:rowOff>
                  </from>
                  <to>
                    <xdr:col>18</xdr:col>
                    <xdr:colOff>342900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22" name="RefiYearOption_9">
              <controlPr defaultSize="0" autoFill="0" autoLine="0" autoPict="0">
                <anchor moveWithCells="1">
                  <from>
                    <xdr:col>17</xdr:col>
                    <xdr:colOff>47625</xdr:colOff>
                    <xdr:row>12</xdr:row>
                    <xdr:rowOff>19050</xdr:rowOff>
                  </from>
                  <to>
                    <xdr:col>17</xdr:col>
                    <xdr:colOff>342900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23" name="ExitYearOption_9">
              <controlPr defaultSize="0" autoFill="0" autoLine="0" autoPict="0">
                <anchor moveWithCells="1">
                  <from>
                    <xdr:col>18</xdr:col>
                    <xdr:colOff>47625</xdr:colOff>
                    <xdr:row>12</xdr:row>
                    <xdr:rowOff>19050</xdr:rowOff>
                  </from>
                  <to>
                    <xdr:col>18</xdr:col>
                    <xdr:colOff>342900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24" name="RefiYearOption_10">
              <controlPr defaultSize="0" autoFill="0" autoLine="0" autoPict="0">
                <anchor moveWithCells="1">
                  <from>
                    <xdr:col>17</xdr:col>
                    <xdr:colOff>47625</xdr:colOff>
                    <xdr:row>13</xdr:row>
                    <xdr:rowOff>19050</xdr:rowOff>
                  </from>
                  <to>
                    <xdr:col>17</xdr:col>
                    <xdr:colOff>342900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25" name="ExitYearOption_10">
              <controlPr defaultSize="0" autoFill="0" autoLine="0" autoPict="0">
                <anchor moveWithCells="1">
                  <from>
                    <xdr:col>18</xdr:col>
                    <xdr:colOff>47625</xdr:colOff>
                    <xdr:row>13</xdr:row>
                    <xdr:rowOff>19050</xdr:rowOff>
                  </from>
                  <to>
                    <xdr:col>18</xdr:col>
                    <xdr:colOff>342900</xdr:colOff>
                    <xdr:row>14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2">
    <tablePart r:id="rId26"/>
    <tablePart r:id="rId2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65" t="s">
        <v>270</v>
      </c>
      <c r="B1" s="63"/>
      <c r="C1" s="63"/>
      <c r="D1" s="6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SUM(Waterfall!$I$4:$I$14)</f>
        <v>519799.48570431559</v>
      </c>
      <c r="D4" s="13">
        <f>C4-B4</f>
        <v>219799.48570431559</v>
      </c>
      <c r="E4" s="13">
        <f>IFERROR(C4/B4,0)</f>
        <v>1.7326649523477187</v>
      </c>
      <c r="F4" s="24">
        <f>IFERROR(D4/B4,0)</f>
        <v>0.73266495234771867</v>
      </c>
      <c r="G4" s="24">
        <f>IRR(H4:R4)</f>
        <v>0.1634264838474333</v>
      </c>
      <c r="H4" s="13">
        <f>-B4</f>
        <v>-300000</v>
      </c>
      <c r="I4" s="13">
        <f>INDEX(Waterfall!$I$4:$I$14,MATCH(1,Waterfall!$A$4:$A$14,0))</f>
        <v>5218.2078853046623</v>
      </c>
      <c r="J4" s="13">
        <f>INDEX(Waterfall!$I$4:$I$14,MATCH(2,Waterfall!$A$4:$A$14,0))</f>
        <v>50173.320000000007</v>
      </c>
      <c r="K4" s="13">
        <f>INDEX(Waterfall!$I$4:$I$14,MATCH(3,Waterfall!$A$4:$A$14,0))</f>
        <v>244608.47211469535</v>
      </c>
      <c r="L4" s="13">
        <f>INDEX(Waterfall!$I$4:$I$14,MATCH(4,Waterfall!$A$4:$A$14,0))</f>
        <v>0</v>
      </c>
      <c r="M4" s="13">
        <f>INDEX(Waterfall!$I$4:$I$14,MATCH(5,Waterfall!$A$4:$A$14,0))</f>
        <v>219799.48570431559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SUM(Waterfall!$M$4:$M$14)</f>
        <v>782283.08283288497</v>
      </c>
      <c r="D5" s="13">
        <f>C5-B5</f>
        <v>234783.08283288497</v>
      </c>
      <c r="E5" s="13">
        <f>IFERROR(C5/B5,0)</f>
        <v>1.4288275485532145</v>
      </c>
      <c r="F5" s="24">
        <f>IFERROR(D5/B5,0)</f>
        <v>0.42882754855321459</v>
      </c>
      <c r="G5" s="24">
        <f>IFERROR(IRR(H5:R5),0)</f>
        <v>8.9826902125470953E-2</v>
      </c>
      <c r="H5" s="13">
        <f>-B5</f>
        <v>-547500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309220.94523555308</v>
      </c>
      <c r="L5" s="13">
        <f>INDEX(Waterfall!$M$4:$M$14,MATCH(4,Waterfall!$A$4:$A$14,0))</f>
        <v>15552.977350248344</v>
      </c>
      <c r="M5" s="13">
        <f>INDEX(Waterfall!$M$4:$M$14,MATCH(5,Waterfall!$A$4:$A$14,0))</f>
        <v>457509.16024708352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SUM(Waterfall!$P$4:$P$14)</f>
        <v>463431.34739884926</v>
      </c>
      <c r="D6" s="13">
        <f>C6-B6</f>
        <v>363431.34739884926</v>
      </c>
      <c r="E6" s="13">
        <f>IFERROR(C6/B6,0)</f>
        <v>4.6343134739884926</v>
      </c>
      <c r="F6" s="24">
        <f>IFERROR(D6/B6,0)</f>
        <v>3.6343134739884926</v>
      </c>
      <c r="G6" s="24">
        <f>IFERROR(IRR(H6:R6),0)</f>
        <v>0.2944476065930457</v>
      </c>
      <c r="H6" s="13">
        <f>-B6</f>
        <v>-100000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363431.34739884926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62" t="s">
        <v>266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71" t="s">
        <v>104</v>
      </c>
      <c r="C2" s="63"/>
      <c r="D2" s="63"/>
    </row>
    <row r="3" spans="1:10" x14ac:dyDescent="0.25">
      <c r="A3" s="13" t="s">
        <v>105</v>
      </c>
      <c r="B3" s="71" t="s">
        <v>106</v>
      </c>
      <c r="C3" s="63"/>
      <c r="D3" s="63"/>
      <c r="E3" s="63"/>
      <c r="F3" s="63"/>
      <c r="G3" s="63"/>
      <c r="H3" s="63"/>
      <c r="I3" s="63"/>
    </row>
    <row r="4" spans="1:10" x14ac:dyDescent="0.25">
      <c r="A4" s="13"/>
      <c r="B4" s="13"/>
      <c r="C4" s="71"/>
      <c r="D4" s="66"/>
      <c r="E4" s="66"/>
      <c r="F4" s="66"/>
      <c r="H4" s="13"/>
    </row>
    <row r="5" spans="1:10" ht="15.75" thickBot="1" x14ac:dyDescent="0.3">
      <c r="A5" s="13"/>
      <c r="B5" s="13"/>
      <c r="C5" s="71"/>
      <c r="D5" s="66"/>
      <c r="E5" s="66"/>
      <c r="F5" s="66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63" t="s">
        <v>160</v>
      </c>
      <c r="C62" s="63"/>
      <c r="D62" s="63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63" t="s">
        <v>164</v>
      </c>
      <c r="D66" s="63"/>
      <c r="E66" s="63"/>
      <c r="F66" s="63"/>
      <c r="G66" s="63"/>
    </row>
    <row r="67" spans="1:7" x14ac:dyDescent="0.25">
      <c r="A67" s="6" t="s">
        <v>165</v>
      </c>
      <c r="B67" s="6" t="s">
        <v>163</v>
      </c>
      <c r="C67" s="63" t="s">
        <v>164</v>
      </c>
      <c r="D67" s="63"/>
      <c r="E67" s="63"/>
      <c r="F67" s="63"/>
      <c r="G67" s="63"/>
    </row>
    <row r="68" spans="1:7" x14ac:dyDescent="0.25">
      <c r="A68" s="6" t="s">
        <v>166</v>
      </c>
      <c r="B68" s="6" t="s">
        <v>163</v>
      </c>
      <c r="C68" s="63" t="s">
        <v>164</v>
      </c>
      <c r="D68" s="63"/>
      <c r="E68" s="63"/>
      <c r="F68" s="63"/>
      <c r="G68" s="63"/>
    </row>
    <row r="69" spans="1:7" x14ac:dyDescent="0.25">
      <c r="A69" s="6" t="s">
        <v>167</v>
      </c>
      <c r="B69" s="6" t="s">
        <v>163</v>
      </c>
      <c r="C69" s="63" t="s">
        <v>164</v>
      </c>
      <c r="D69" s="63"/>
      <c r="E69" s="63"/>
      <c r="F69" s="63"/>
      <c r="G69" s="63"/>
    </row>
    <row r="70" spans="1:7" x14ac:dyDescent="0.25">
      <c r="A70" s="6" t="s">
        <v>168</v>
      </c>
      <c r="B70" s="6" t="s">
        <v>169</v>
      </c>
      <c r="C70" s="63" t="s">
        <v>170</v>
      </c>
      <c r="D70" s="63"/>
      <c r="E70" s="63"/>
      <c r="F70" s="63"/>
      <c r="G70" s="63"/>
    </row>
    <row r="71" spans="1:7" x14ac:dyDescent="0.25">
      <c r="A71" s="6" t="s">
        <v>171</v>
      </c>
      <c r="B71" s="6" t="s">
        <v>163</v>
      </c>
      <c r="C71" s="63" t="s">
        <v>172</v>
      </c>
      <c r="D71" s="63"/>
      <c r="E71" s="63"/>
      <c r="F71" s="63"/>
      <c r="G71" s="63"/>
    </row>
    <row r="72" spans="1:7" x14ac:dyDescent="0.25">
      <c r="A72" s="6" t="s">
        <v>173</v>
      </c>
      <c r="B72" s="6" t="s">
        <v>163</v>
      </c>
      <c r="C72" s="63" t="s">
        <v>174</v>
      </c>
      <c r="D72" s="63"/>
      <c r="E72" s="63"/>
      <c r="F72" s="63"/>
      <c r="G72" s="63"/>
    </row>
    <row r="73" spans="1:7" x14ac:dyDescent="0.25">
      <c r="A73" s="6" t="s">
        <v>175</v>
      </c>
      <c r="B73" s="6" t="s">
        <v>163</v>
      </c>
      <c r="C73" s="63" t="s">
        <v>176</v>
      </c>
      <c r="D73" s="63"/>
      <c r="E73" s="63"/>
      <c r="F73" s="63"/>
      <c r="G73" s="63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63" t="s">
        <v>179</v>
      </c>
      <c r="D76" s="63"/>
      <c r="E76" s="63"/>
      <c r="F76" s="63"/>
      <c r="G76" s="63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63" t="s">
        <v>185</v>
      </c>
      <c r="D81" s="63"/>
      <c r="E81" s="63"/>
      <c r="F81" s="63"/>
      <c r="G81" s="63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77</vt:i4>
      </vt:variant>
    </vt:vector>
  </HeadingPairs>
  <TitlesOfParts>
    <vt:vector size="84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2026-05-17T02:15:14Z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