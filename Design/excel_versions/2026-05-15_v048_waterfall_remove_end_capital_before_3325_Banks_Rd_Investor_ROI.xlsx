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545" documentId="13_ncr:1_{0C20EBD6-E2BD-404C-B47C-BDA54182D35E}" xr6:coauthVersionLast="47" xr6:coauthVersionMax="47" xr10:uidLastSave="{2314E313-894C-47AF-96D9-ABE4AFBD8426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3" l="1"/>
  <c r="Q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C12" i="2" l="1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S4" i="3"/>
  <c r="P4" i="3"/>
  <c r="K4" i="3"/>
  <c r="I4" i="3"/>
  <c r="H4" i="3"/>
  <c r="B28" i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O22" i="3" l="1"/>
  <c r="P22" i="3" s="1"/>
  <c r="B10" i="7"/>
  <c r="B15" i="7" s="1"/>
  <c r="B41" i="1"/>
  <c r="B15" i="6"/>
  <c r="B14" i="6"/>
  <c r="B36" i="7" l="1"/>
  <c r="B6" i="7" s="1"/>
  <c r="B7" i="7" s="1"/>
  <c r="B15" i="1" s="1"/>
  <c r="E12" i="2" s="1"/>
  <c r="F12" i="2" s="1"/>
  <c r="N12" i="2" s="1"/>
  <c r="L4" i="3"/>
  <c r="N4" i="3" s="1"/>
  <c r="B20" i="3"/>
  <c r="B30" i="6"/>
  <c r="B31" i="6" s="1"/>
  <c r="B5" i="4"/>
  <c r="H5" i="4" s="1"/>
  <c r="B30" i="1" l="1"/>
  <c r="E11" i="2"/>
  <c r="F11" i="2" s="1"/>
  <c r="N11" i="2" s="1"/>
  <c r="E4" i="2"/>
  <c r="F4" i="2" s="1"/>
  <c r="H4" i="2" s="1"/>
  <c r="J4" i="2" s="1"/>
  <c r="E7" i="2"/>
  <c r="F7" i="2" s="1"/>
  <c r="N7" i="2" s="1"/>
  <c r="E13" i="2"/>
  <c r="F13" i="2" s="1"/>
  <c r="N13" i="2" s="1"/>
  <c r="E5" i="2"/>
  <c r="F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N5" i="2" l="1"/>
  <c r="M12" i="2"/>
  <c r="M5" i="2"/>
  <c r="I5" i="2"/>
  <c r="G5" i="2"/>
  <c r="H5" i="2" s="1"/>
  <c r="G7" i="2"/>
  <c r="H7" i="2" s="1"/>
  <c r="G6" i="2"/>
  <c r="H6" i="2" s="1"/>
  <c r="M11" i="2"/>
  <c r="I6" i="2"/>
  <c r="G14" i="2"/>
  <c r="H14" i="2" s="1"/>
  <c r="M6" i="2"/>
  <c r="G8" i="2"/>
  <c r="H8" i="2" s="1"/>
  <c r="M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B4" i="3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N5" i="3"/>
  <c r="L6" i="3" s="1"/>
  <c r="O5" i="3"/>
  <c r="P5" i="3" s="1"/>
  <c r="J5" i="3"/>
  <c r="I5" i="3"/>
  <c r="F6" i="3" s="1"/>
  <c r="E21" i="3" l="1"/>
  <c r="E20" i="3"/>
  <c r="I5" i="4"/>
  <c r="I6" i="4"/>
  <c r="K5" i="3"/>
  <c r="E19" i="3" s="1"/>
  <c r="D6" i="3"/>
  <c r="K5" i="2" l="1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F21" i="3" s="1"/>
  <c r="I6" i="3"/>
  <c r="F7" i="3" s="1"/>
  <c r="D7" i="3" s="1"/>
  <c r="J6" i="4" l="1"/>
  <c r="N6" i="3"/>
  <c r="L7" i="3" s="1"/>
  <c r="O6" i="3"/>
  <c r="P6" i="3" s="1"/>
  <c r="F20" i="3" s="1"/>
  <c r="J6" i="3"/>
  <c r="K6" i="3" s="1"/>
  <c r="F19" i="3" s="1"/>
  <c r="K6" i="2" l="1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l="1"/>
  <c r="G21" i="3"/>
  <c r="O7" i="3"/>
  <c r="P7" i="3" s="1"/>
  <c r="N7" i="3"/>
  <c r="L8" i="3" s="1"/>
  <c r="J7" i="3"/>
  <c r="K7" i="3" s="1"/>
  <c r="K5" i="4" l="1"/>
  <c r="G20" i="3"/>
  <c r="G19" i="3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H21" i="3" s="1"/>
  <c r="O8" i="3" l="1"/>
  <c r="P8" i="3" s="1"/>
  <c r="J8" i="3"/>
  <c r="K8" i="3" s="1"/>
  <c r="N8" i="3"/>
  <c r="L9" i="3" s="1"/>
  <c r="L6" i="4"/>
  <c r="H20" i="3" l="1"/>
  <c r="L4" i="4"/>
  <c r="H19" i="3"/>
  <c r="K8" i="2"/>
  <c r="L8" i="2" s="1"/>
  <c r="J9" i="2" s="1"/>
  <c r="B9" i="3" s="1"/>
  <c r="E9" i="3" s="1"/>
  <c r="H9" i="3" s="1"/>
  <c r="C10" i="3" s="1"/>
  <c r="L5" i="4"/>
  <c r="G9" i="3" l="1"/>
  <c r="I9" i="3" s="1"/>
  <c r="F10" i="3" s="1"/>
  <c r="D10" i="3" s="1"/>
  <c r="M9" i="3" l="1"/>
  <c r="N9" i="3" s="1"/>
  <c r="L10" i="3" s="1"/>
  <c r="R9" i="3" l="1"/>
  <c r="S9" i="3" s="1"/>
  <c r="J9" i="3"/>
  <c r="K9" i="3" s="1"/>
  <c r="I19" i="3" s="1"/>
  <c r="O9" i="3"/>
  <c r="P9" i="3" s="1"/>
  <c r="I21" i="3" l="1"/>
  <c r="I20" i="3"/>
  <c r="M5" i="4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R10" i="3"/>
  <c r="S10" i="3" s="1"/>
  <c r="O10" i="3"/>
  <c r="P10" i="3" s="1"/>
  <c r="J20" i="3" s="1"/>
  <c r="J21" i="3" l="1"/>
  <c r="J19" i="3"/>
  <c r="N4" i="4"/>
  <c r="K10" i="2"/>
  <c r="N6" i="4"/>
  <c r="N5" i="4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R11" i="3"/>
  <c r="S11" i="3" s="1"/>
  <c r="K21" i="3" s="1"/>
  <c r="J11" i="3"/>
  <c r="K11" i="3" s="1"/>
  <c r="K19" i="3" s="1"/>
  <c r="K20" i="3" l="1"/>
  <c r="K11" i="2"/>
  <c r="L11" i="2" s="1"/>
  <c r="J12" i="2" s="1"/>
  <c r="O5" i="4"/>
  <c r="O4" i="4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L19" i="3" s="1"/>
  <c r="O12" i="3"/>
  <c r="P12" i="3" s="1"/>
  <c r="R12" i="3"/>
  <c r="S12" i="3" s="1"/>
  <c r="L21" i="3" l="1"/>
  <c r="L20" i="3"/>
  <c r="K12" i="2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M21" i="3" s="1"/>
  <c r="J13" i="3"/>
  <c r="K13" i="3" s="1"/>
  <c r="M19" i="3" s="1"/>
  <c r="O13" i="3"/>
  <c r="P13" i="3" s="1"/>
  <c r="M20" i="3" s="1"/>
  <c r="N13" i="3"/>
  <c r="L14" i="3" s="1"/>
  <c r="Q4" i="4" l="1"/>
  <c r="K13" i="2"/>
  <c r="Q5" i="4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N19" i="3" s="1"/>
  <c r="O19" i="3" s="1"/>
  <c r="O14" i="3"/>
  <c r="P14" i="3" s="1"/>
  <c r="N20" i="3" s="1"/>
  <c r="O20" i="3" s="1"/>
  <c r="R14" i="3"/>
  <c r="S14" i="3" s="1"/>
  <c r="P20" i="3" l="1"/>
  <c r="Q20" i="3" s="1"/>
  <c r="R20" i="3"/>
  <c r="P19" i="3"/>
  <c r="Q19" i="3" s="1"/>
  <c r="R19" i="3"/>
  <c r="C6" i="4"/>
  <c r="D6" i="4" s="1"/>
  <c r="F6" i="4" s="1"/>
  <c r="N21" i="3"/>
  <c r="O21" i="3" s="1"/>
  <c r="K14" i="2"/>
  <c r="L14" i="2" s="1"/>
  <c r="C4" i="4"/>
  <c r="E4" i="4" s="1"/>
  <c r="R4" i="4"/>
  <c r="G4" i="4" s="1"/>
  <c r="R5" i="4"/>
  <c r="G5" i="4" s="1"/>
  <c r="C5" i="4"/>
  <c r="E5" i="4" s="1"/>
  <c r="R6" i="4"/>
  <c r="G6" i="4" s="1"/>
  <c r="P21" i="3" l="1"/>
  <c r="Q21" i="3" s="1"/>
  <c r="R21" i="3"/>
  <c r="E6" i="4"/>
  <c r="D4" i="4"/>
  <c r="F4" i="4" s="1"/>
  <c r="D5" i="4"/>
  <c r="F5" i="4" s="1"/>
  <c r="C19" i="3"/>
  <c r="C20" i="3"/>
  <c r="C21" i="3"/>
</calcChain>
</file>

<file path=xl/sharedStrings.xml><?xml version="1.0" encoding="utf-8"?>
<sst xmlns="http://schemas.openxmlformats.org/spreadsheetml/2006/main" count="384" uniqueCount="322">
  <si>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</si>
  <si>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</si>
  <si>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</si>
  <si>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</si>
  <si>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</si>
  <si>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</si>
  <si>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</si>
  <si>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</si>
  <si>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</si>
  <si>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</si>
  <si>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</si>
  <si>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</si>
  <si>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</si>
  <si>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</si>
  <si>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</si>
  <si>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</si>
  <si>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</si>
  <si>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</si>
  <si>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</si>
  <si>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</si>
  <si>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</si>
  <si>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</si>
  <si>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</si>
  <si>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</si>
  <si>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</si>
  <si>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</si>
  <si>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</si>
  <si>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</si>
  <si>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</si>
  <si>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</si>
  <si>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</si>
  <si>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</si>
  <si>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</si>
  <si>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</si>
  <si>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</si>
  <si>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</si>
  <si>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</si>
  <si>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</si>
  <si>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</si>
  <si>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</si>
  <si>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</si>
  <si>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</si>
  <si>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</si>
  <si>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</si>
  <si>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</si>
  <si>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</si>
  <si>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</si>
  <si>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</si>
  <si>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</si>
  <si>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</si>
  <si>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</si>
  <si>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</si>
  <si>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</si>
  <si>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</si>
  <si>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</si>
  <si>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</si>
  <si>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</si>
  <si>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</si>
  <si>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</si>
  <si>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</si>
  <si>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</si>
  <si>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</si>
  <si>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</si>
  <si>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</si>
  <si>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</si>
  <si>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</si>
  <si>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</si>
  <si>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</si>
  <si>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</si>
  <si>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</si>
  <si>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</si>
  <si>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</si>
  <si>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</si>
  <si>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</si>
  <si>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</si>
  <si>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</si>
  <si>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</si>
  <si>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</si>
  <si>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</si>
  <si>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</si>
  <si>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</si>
  <si>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</si>
  <si>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</si>
  <si>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</si>
  <si>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</si>
  <si>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</si>
  <si>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</si>
  <si>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</si>
  <si>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</si>
  <si>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</si>
  <si>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</si>
  <si>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</si>
  <si>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</si>
  <si>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</si>
  <si>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</si>
  <si>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</si>
  <si>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</si>
  <si>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</si>
  <si>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</si>
  <si>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</si>
  <si>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</si>
  <si>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</si>
  <si>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</si>
  <si>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</si>
  <si>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</si>
  <si>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</si>
  <si>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</si>
  <si>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</si>
  <si>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</si>
  <si>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</si>
  <si>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</si>
  <si>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</si>
  <si>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</si>
  <si>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</si>
  <si>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</si>
  <si>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</si>
  <si>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</si>
  <si>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</si>
  <si>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</si>
  <si>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</si>
  <si>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</si>
  <si>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</si>
  <si>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</si>
  <si>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</si>
  <si>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</si>
  <si>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</si>
  <si>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</si>
  <si>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</si>
  <si>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</si>
  <si>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</si>
  <si>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</si>
  <si>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</si>
  <si>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</si>
  <si>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</si>
  <si>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</si>
  <si>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</si>
  <si>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</si>
  <si>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</si>
  <si>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</si>
  <si>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</si>
  <si>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</si>
  <si>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</si>
  <si>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</si>
  <si>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</si>
  <si>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</si>
  <si>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</si>
  <si>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</si>
  <si>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</si>
  <si>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</si>
  <si>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</si>
  <si>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</si>
  <si>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</si>
  <si>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</si>
  <si>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</si>
  <si>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</si>
  <si>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</si>
  <si>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</si>
  <si>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</si>
  <si>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</si>
  <si>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</si>
  <si>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</si>
  <si>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</si>
  <si>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</si>
  <si>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</si>
  <si>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</si>
  <si>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</si>
  <si>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</si>
  <si>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</si>
  <si>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</si>
  <si>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</si>
  <si>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</si>
  <si>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</si>
  <si>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</si>
  <si>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</si>
  <si>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</si>
  <si>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</si>
  <si>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</si>
  <si>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</si>
  <si>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</si>
  <si>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</si>
  <si>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</si>
  <si>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</si>
  <si>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</si>
  <si>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</si>
  <si>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</si>
  <si>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</si>
  <si>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</si>
  <si>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</si>
  <si>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</si>
  <si>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</si>
  <si>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</si>
  <si>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</si>
  <si>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</si>
  <si>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</si>
  <si>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</si>
  <si>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</si>
  <si>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</si>
  <si>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</si>
  <si>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</si>
  <si>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</si>
  <si>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</si>
  <si>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</si>
  <si>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</si>
  <si>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</si>
  <si>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</si>
  <si>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</si>
  <si>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</si>
  <si>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</si>
  <si>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</si>
  <si>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</si>
  <si>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</si>
  <si>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</si>
  <si>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</si>
  <si>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</si>
  <si>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</si>
  <si>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</si>
  <si>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</si>
  <si>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</si>
  <si>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</si>
  <si>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</si>
  <si>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</si>
  <si>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</si>
  <si>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</si>
  <si>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</si>
  <si>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</si>
  <si>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</si>
  <si>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</si>
  <si>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</si>
  <si>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</si>
  <si>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</si>
  <si>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</si>
  <si>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</si>
  <si>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</si>
  <si>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</si>
  <si>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</si>
  <si>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</si>
  <si>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</si>
  <si>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</si>
  <si>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</si>
  <si>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</si>
  <si>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</si>
  <si>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</si>
  <si>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</si>
  <si>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</si>
  <si>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</si>
  <si>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</si>
  <si>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</si>
  <si>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</si>
  <si>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</si>
  <si>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</si>
  <si>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</si>
  <si>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</si>
  <si>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</si>
  <si>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</si>
  <si>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</si>
  <si>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</si>
  <si>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</si>
  <si>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</si>
  <si>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</si>
  <si>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</si>
  <si>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</si>
  <si>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</si>
  <si>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</si>
  <si>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</si>
  <si>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</si>
  <si>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</si>
  <si>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</si>
  <si>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</si>
  <si>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</si>
  <si>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</si>
  <si>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</si>
  <si>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</si>
  <si>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</si>
  <si>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</si>
  <si>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</si>
  <si>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</si>
  <si>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End Accrued Pref</t>
  </si>
  <si>
    <t>A End Capital</t>
  </si>
  <si>
    <t>A Residual</t>
  </si>
  <si>
    <t>B Capital Returned</t>
  </si>
  <si>
    <t>B End Capital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</si>
  <si>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</si>
  <si>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</si>
  <si>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</si>
  <si>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</si>
  <si>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</si>
  <si>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</si>
  <si>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</si>
  <si>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</si>
  <si>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</si>
  <si>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</si>
  <si>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</si>
  <si>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</si>
  <si>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</si>
  <si>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</si>
  <si>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</si>
  <si>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</si>
  <si>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</si>
  <si>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</si>
  <si>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</si>
  <si>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</si>
  <si>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</si>
  <si>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</si>
  <si>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</si>
  <si>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</si>
  <si>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</si>
  <si>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</si>
  <si>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</si>
  <si>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</si>
  <si>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</si>
  <si>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</si>
  <si>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</si>
  <si>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</si>
  <si>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</si>
  <si>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</si>
  <si>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</si>
  <si>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A Total Dist</t>
  </si>
  <si>
    <t>Pref Paid</t>
  </si>
  <si>
    <t>Pref Accrued</t>
  </si>
  <si>
    <t>Beg Pref Accrued</t>
  </si>
  <si>
    <t>Capital</t>
  </si>
  <si>
    <t>B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</si>
</sst>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4" dataDxfId="62" headerRowBorderDxfId="63" tableBorderDxfId="61">
  <autoFilter ref="A3:N14" xr:uid="{31008567-CFA1-42A9-9327-0B98502CA80D}"/>
  <tableColumns count="14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7">
      <calculatedColumnFormula>IF(A4=0,0,C4*IF(A4=1,LeaseUpOccupancy,StabilizedOccupancy))</calculatedColumnFormula>
    </tableColumn>
    <tableColumn id="5" xr3:uid="{B76742F3-2204-4523-9F15-8E1C72B7BD6E}" name="Operating Expenses" dataDxfId="56">
      <calculatedColumnFormula>D4*OperatingExpenseRatio</calculatedColumnFormula>
    </tableColumn>
    <tableColumn id="6" xr3:uid="{3F74AC57-500F-402C-9765-78D18626B1BE}" name="NOI" dataDxfId="55">
      <calculatedColumnFormula>D4-E4</calculatedColumnFormula>
    </tableColumn>
    <tableColumn id="7" xr3:uid="{56511279-406D-4252-A9A7-9170D8B87E55}" name="Debt Service" dataDxfId="54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3">
      <calculatedColumnFormula>AnnualModelTable[[#This Row],[NOI]]-AnnualModelTable[[#This Row],[Debt Service]]</calculatedColumnFormula>
    </tableColumn>
    <tableColumn id="9" xr3:uid="{AC4642EC-E8F2-497F-99FB-4D7BE675DEA1}" name="Net Refi/Sale Proceeds" dataDxfId="52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51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50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9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8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7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6" dataDxfId="44" headerRowBorderDxfId="45" tableBorderDxfId="43">
  <tableColumns count="19">
    <tableColumn id="1" xr3:uid="{963D327E-2263-47D8-80F9-5A28D9522E50}" name="Year" dataDxfId="42"/>
    <tableColumn id="2" xr3:uid="{DD4D5E48-A253-4495-BAA1-CD03E9DB3287}" name="Cash Available" dataDxfId="41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Beg Pref Accrued" dataDxfId="40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Pref Accrued" dataDxfId="39">
      <calculatedColumnFormula>WaterfallTable[[#This Row],[Capital]]*ClassAPreferredReturn</calculatedColumnFormula>
    </tableColumn>
    <tableColumn id="5" xr3:uid="{6DFBF4A6-C663-4C39-BE8E-9DCEE6178410}" name="Pref Paid" dataDxfId="38">
      <calculatedColumnFormula>IF(WaterfallTable[[#This Row],[Year]]=0,0,MIN(WaterfallTable[[#This Row],[Cash Available]],WaterfallTable[[#This Row],[Beg Pref Accrued]]+WaterfallTable[[#This Row],[Pref Accrued]]))</calculatedColumnFormula>
    </tableColumn>
    <tableColumn id="6" xr3:uid="{FDF1F9D4-D2FF-4A88-92C0-BF4E451BAD9D}" name="Capital" dataDxfId="37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6">
      <calculatedColumnFormula>IF(WaterfallTable[[#This Row],[Year]]=0,0,MIN(MAX(0,WaterfallTable[[#This Row],[Cash Available]]-WaterfallTable[[#This Row],[Pref Paid]]),WaterfallTable[[#This Row],[Capital]]))</calculatedColumnFormula>
    </tableColumn>
    <tableColumn id="8" xr3:uid="{D696CF7C-ADFF-4797-A342-D4FDBE970935}" name="A End Accrued Pref" dataDxfId="35">
      <calculatedColumnFormula>WaterfallTable[[#This Row],[Beg Pref Accrued]]+WaterfallTable[[#This Row],[Pref Accrued]]-WaterfallTable[[#This Row],[Pref Paid]]</calculatedColumnFormula>
    </tableColumn>
    <tableColumn id="9" xr3:uid="{B388253F-1FB5-4833-827B-90E90C5D3F73}" name="A End Capital" dataDxfId="34">
      <calculatedColumnFormula>WaterfallTable[[#This Row],[Capital]]-WaterfallTable[[#This Row],[A Capital Returned]]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Row],[Pref Paid]]-WaterfallTable[[#This Row],[A Capital Returned]]-WaterfallTable[[#This Row],[B Capital Returned]])*ClassAResidualShare)</calculatedColumnFormula>
    </tableColumn>
    <tableColumn id="11" xr3:uid="{ECBC678F-113A-47C3-9364-8CD715F8612B}" name="A Total Dist" dataDxfId="32">
      <calculatedColumnFormula>WaterfallTable[[#This Row],[Pref Paid]]+WaterfallTable[[#This Row],[A Capital Returned]]+WaterfallTable[[#This Row],[A Residual]]</calculatedColumnFormula>
    </tableColumn>
    <tableColumn id="12" xr3:uid="{BEF54E58-ED5B-4464-961D-44F9013F8D13}" name="B Capital" dataDxfId="31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Row],[Pref Paid]]-WaterfallTable[[#This Row],[A Capital Returned]]),WaterfallTable[[#This Row],[B Capital]]),0))</calculatedColumnFormula>
    </tableColumn>
    <tableColumn id="14" xr3:uid="{0E2E93C4-7BF4-4641-A72A-B475C6241132}" name="B End Capital" dataDxfId="29">
      <calculatedColumnFormula>WaterfallTable[[#This Row],[B Capital]]-WaterfallTable[[#This Row],[B Capital Returned]]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Row],[Pref Paid]]-WaterfallTable[[#This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Row],[Pref Paid]]-WaterfallTable[[#This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Profit" dataDxfId="4"/>
    <tableColumn id="16" xr3:uid="{0A58F701-6416-4538-A6E5-4BF44C4993D5}" name="Total Distributions" dataDxfId="3"/>
    <tableColumn id="17" xr3:uid="{AC84C97B-2616-4869-838B-9557C19186A7}" name="Equity Multiple" dataDxfId="2"/>
    <tableColumn id="18" xr3:uid="{523BC2AE-FDEA-442A-A3C6-B94CA77050FC}" name="ROI %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C20" sqref="C20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10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8" t="s">
        <v>294</v>
      </c>
      <c r="E7" s="68"/>
      <c r="F7" s="68"/>
      <c r="G7" s="68"/>
      <c r="H7" s="68"/>
      <c r="I7" s="68"/>
      <c r="J7" s="68"/>
    </row>
    <row r="8" spans="1:10" x14ac:dyDescent="0.25">
      <c r="A8" s="13" t="s">
        <v>8</v>
      </c>
      <c r="B8" s="15">
        <v>4</v>
      </c>
      <c r="C8" s="18" t="s">
        <v>9</v>
      </c>
      <c r="D8" s="39" t="s">
        <v>302</v>
      </c>
      <c r="E8" s="39" t="s">
        <v>111</v>
      </c>
      <c r="F8" s="39" t="s">
        <v>298</v>
      </c>
      <c r="G8" s="39" t="s">
        <v>124</v>
      </c>
      <c r="H8" s="39" t="s">
        <v>303</v>
      </c>
      <c r="I8" s="39" t="s">
        <v>304</v>
      </c>
      <c r="J8" s="39" t="s">
        <v>305</v>
      </c>
    </row>
    <row r="9" spans="1:10" x14ac:dyDescent="0.25">
      <c r="A9" s="13" t="s">
        <v>10</v>
      </c>
      <c r="B9" s="13">
        <v>1600</v>
      </c>
      <c r="C9" s="18" t="s">
        <v>299</v>
      </c>
      <c r="D9" s="40" t="s">
        <v>295</v>
      </c>
      <c r="E9" s="41">
        <v>1350</v>
      </c>
      <c r="F9" s="41">
        <v>1600</v>
      </c>
      <c r="G9" s="41">
        <v>1750</v>
      </c>
      <c r="H9" s="41">
        <f>AVERAGE(E9:G9)</f>
        <v>1566.6666666666667</v>
      </c>
      <c r="I9" s="40" t="s">
        <v>306</v>
      </c>
      <c r="J9" s="40"/>
    </row>
    <row r="10" spans="1:10" x14ac:dyDescent="0.25">
      <c r="A10" s="13" t="s">
        <v>11</v>
      </c>
      <c r="B10" s="15">
        <v>4</v>
      </c>
      <c r="C10" s="18" t="s">
        <v>12</v>
      </c>
      <c r="D10" s="40" t="s">
        <v>296</v>
      </c>
      <c r="E10" s="41">
        <v>850</v>
      </c>
      <c r="F10" s="41">
        <v>1100</v>
      </c>
      <c r="G10" s="41">
        <v>1250</v>
      </c>
      <c r="H10" s="41">
        <f>AVERAGE(E10:G10)</f>
        <v>1066.6666666666667</v>
      </c>
      <c r="I10" s="40" t="s">
        <v>306</v>
      </c>
      <c r="J10" s="40"/>
    </row>
    <row r="11" spans="1:10" x14ac:dyDescent="0.25">
      <c r="A11" s="13" t="s">
        <v>13</v>
      </c>
      <c r="B11" s="13">
        <v>1100</v>
      </c>
      <c r="C11" s="18" t="s">
        <v>299</v>
      </c>
      <c r="D11" s="40" t="s">
        <v>297</v>
      </c>
      <c r="E11" s="41">
        <f>PremiumSuites*E9+CoLivingSuites*E10+OtherMonthlyIncome</f>
        <v>8800</v>
      </c>
      <c r="F11" s="41">
        <f>PremiumSuites*F9+CoLivingSuites*F10+OtherMonthlyIncome</f>
        <v>10800</v>
      </c>
      <c r="G11" s="41">
        <f>PremiumSuites*G9+CoLivingSuites*G10+OtherMonthlyIncome</f>
        <v>12000</v>
      </c>
      <c r="H11" s="41">
        <f>AVERAGE(E11:G11)</f>
        <v>10533.333333333334</v>
      </c>
      <c r="I11" s="40" t="s">
        <v>307</v>
      </c>
      <c r="J11" s="40"/>
    </row>
    <row r="12" spans="1:10" x14ac:dyDescent="0.25">
      <c r="A12" s="13" t="s">
        <v>14</v>
      </c>
      <c r="B12" s="13">
        <v>0</v>
      </c>
      <c r="C12" s="18" t="s">
        <v>15</v>
      </c>
      <c r="D12" s="40" t="s">
        <v>300</v>
      </c>
      <c r="E12" s="41">
        <v>1</v>
      </c>
      <c r="F12" s="41">
        <v>2</v>
      </c>
      <c r="G12" s="41">
        <v>3</v>
      </c>
      <c r="H12" s="41"/>
      <c r="I12" s="40" t="s">
        <v>308</v>
      </c>
      <c r="J12" s="40" t="s">
        <v>309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310</v>
      </c>
      <c r="B17" s="13">
        <f>RentScenarioAverageMonthlyGross</f>
        <v>10533.333333333334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1">
        <v>0.4</v>
      </c>
      <c r="C43" s="18" t="s">
        <v>269</v>
      </c>
    </row>
    <row r="44" spans="1:3" x14ac:dyDescent="0.25">
      <c r="A44" s="13" t="s">
        <v>268</v>
      </c>
      <c r="B44" s="31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1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284</v>
      </c>
      <c r="B46" s="13">
        <v>150000</v>
      </c>
      <c r="C46" s="13" t="s">
        <v>285</v>
      </c>
    </row>
    <row r="47" spans="1:3" x14ac:dyDescent="0.25">
      <c r="A47" s="13" t="s">
        <v>54</v>
      </c>
      <c r="B47" s="66" t="s">
        <v>55</v>
      </c>
      <c r="C47" s="67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9" t="s">
        <v>56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57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62</v>
      </c>
      <c r="G3" s="26" t="s">
        <v>63</v>
      </c>
      <c r="H3" s="26" t="s">
        <v>261</v>
      </c>
      <c r="I3" s="26" t="s">
        <v>274</v>
      </c>
      <c r="J3" s="26" t="s">
        <v>262</v>
      </c>
      <c r="K3" s="26" t="s">
        <v>263</v>
      </c>
      <c r="L3" s="26" t="s">
        <v>264</v>
      </c>
      <c r="M3" s="26" t="s">
        <v>64</v>
      </c>
      <c r="N3" s="26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25250.482003266567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7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8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709687.64071681129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9" s="13">
        <f>AnnualModelTable[[#This Row],[NOI]]-AnnualModelTable[[#This Row],[Debt Service]]</f>
        <v>25250.482003266567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9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0" s="13">
        <f>AnnualModelTable[[#This Row],[NOI]]-AnnualModelTable[[#This Row],[Debt Service]]</f>
        <v>25250.482003266567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0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1" s="13">
        <f>AnnualModelTable[[#This Row],[NOI]]-AnnualModelTable[[#This Row],[Debt Service]]</f>
        <v>25250.482003266567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1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2" s="13">
        <f>AnnualModelTable[[#This Row],[NOI]]-AnnualModelTable[[#This Row],[Debt Service]]</f>
        <v>25250.482003266567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2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3" s="13">
        <f>AnnualModelTable[[#This Row],[NOI]]-AnnualModelTable[[#This Row],[Debt Service]]</f>
        <v>25250.482003266567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3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4" s="13">
        <f>AnnualModelTable[[#This Row],[NOI]]-AnnualModelTable[[#This Row],[Debt Service]]</f>
        <v>25250.482003266567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1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1183926.3220032663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L14" sqref="L14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10.7109375" style="6" bestFit="1" customWidth="1"/>
    <col min="4" max="4" width="8.28515625" style="6" bestFit="1" customWidth="1"/>
    <col min="5" max="5" width="10.7109375" style="6" bestFit="1" customWidth="1"/>
    <col min="6" max="6" width="7.5703125" style="6" bestFit="1" customWidth="1"/>
    <col min="7" max="7" width="9.28515625" style="6" bestFit="1" customWidth="1"/>
    <col min="8" max="8" width="12.28515625" style="6" customWidth="1"/>
    <col min="9" max="9" width="7.5703125" style="6" bestFit="1" customWidth="1"/>
    <col min="10" max="10" width="8.5703125" style="6" bestFit="1" customWidth="1"/>
    <col min="11" max="12" width="7.5703125" style="6" bestFit="1" customWidth="1"/>
    <col min="13" max="13" width="9.28515625" style="6" bestFit="1" customWidth="1"/>
    <col min="14" max="14" width="12.42578125" style="6" bestFit="1" customWidth="1"/>
    <col min="15" max="15" width="10.85546875" style="6" bestFit="1" customWidth="1"/>
    <col min="16" max="16" width="17.5703125" style="6" bestFit="1" customWidth="1"/>
    <col min="17" max="17" width="14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9" t="s">
        <v>71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71" t="s">
        <v>273</v>
      </c>
      <c r="D2" s="72"/>
      <c r="E2" s="72"/>
      <c r="F2" s="72"/>
      <c r="G2" s="72"/>
      <c r="H2" s="72"/>
      <c r="I2" s="72"/>
      <c r="J2" s="25"/>
      <c r="K2" s="25"/>
      <c r="L2" s="73" t="s">
        <v>92</v>
      </c>
      <c r="M2" s="74"/>
      <c r="N2" s="74"/>
      <c r="O2" s="74"/>
      <c r="P2" s="74"/>
      <c r="Q2" s="75" t="s">
        <v>93</v>
      </c>
      <c r="R2" s="76"/>
      <c r="S2" s="76"/>
    </row>
    <row r="3" spans="1:19" s="23" customFormat="1" ht="30" x14ac:dyDescent="0.25">
      <c r="A3" s="28" t="s">
        <v>57</v>
      </c>
      <c r="B3" s="28" t="s">
        <v>72</v>
      </c>
      <c r="C3" s="29" t="s">
        <v>319</v>
      </c>
      <c r="D3" s="29" t="s">
        <v>318</v>
      </c>
      <c r="E3" s="29" t="s">
        <v>317</v>
      </c>
      <c r="F3" s="29" t="s">
        <v>320</v>
      </c>
      <c r="G3" s="29" t="s">
        <v>275</v>
      </c>
      <c r="H3" s="29" t="s">
        <v>276</v>
      </c>
      <c r="I3" s="29" t="s">
        <v>277</v>
      </c>
      <c r="J3" s="29" t="s">
        <v>278</v>
      </c>
      <c r="K3" s="29" t="s">
        <v>316</v>
      </c>
      <c r="L3" s="28" t="s">
        <v>321</v>
      </c>
      <c r="M3" s="28" t="s">
        <v>279</v>
      </c>
      <c r="N3" s="28" t="s">
        <v>280</v>
      </c>
      <c r="O3" s="28" t="s">
        <v>281</v>
      </c>
      <c r="P3" s="28" t="s">
        <v>315</v>
      </c>
      <c r="Q3" s="30" t="s">
        <v>287</v>
      </c>
      <c r="R3" s="30" t="s">
        <v>288</v>
      </c>
      <c r="S3" s="30" t="s">
        <v>314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Row],[Capital]]*ClassAPreferredReturn</f>
        <v>24000</v>
      </c>
      <c r="E4" s="13">
        <f>IF(WaterfallTable[[#This Row],[Year]]=0,0,MIN(WaterfallTable[[#This Row],[Cash Available]],WaterfallTable[[#This Row],[Beg Pref Accrued]]+WaterfallTable[[#This Row],[Pref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Row],[Pref Paid]]),WaterfallTable[[#This Row],[Capital]]))</f>
        <v>0</v>
      </c>
      <c r="H4" s="13">
        <f>WaterfallTable[[#This Row],[Beg Pref Accrued]]+WaterfallTable[[#This Row],[Pref Accrued]]-WaterfallTable[[#This Row],[Pref Paid]]</f>
        <v>24000</v>
      </c>
      <c r="I4" s="13">
        <f>WaterfallTable[[#This Row],[Capital]]-WaterfallTable[[#This Row],[A Capital Returned]]</f>
        <v>300000</v>
      </c>
      <c r="J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4" s="13">
        <f>WaterfallTable[[#This Row],[Pref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0</v>
      </c>
      <c r="N4" s="13">
        <f>WaterfallTable[[#This Row],[B Capital]]-WaterfallTable[[#This Row],[B Capital Returned]]</f>
        <v>597500</v>
      </c>
      <c r="O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Row],[Capital]]*ClassAPreferredReturn</f>
        <v>24000</v>
      </c>
      <c r="E5" s="13">
        <f>IF(WaterfallTable[[#This Row],[Year]]=0,0,MIN(WaterfallTable[[#This Row],[Cash Available]],WaterfallTable[[#This Row],[Beg Pref Accrued]]+WaterfallTable[[#This Row],[Pref Accrued]]))</f>
        <v>17868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Row],[Pref Paid]]),WaterfallTable[[#This Row],[Capital]]))</f>
        <v>0</v>
      </c>
      <c r="H5" s="13">
        <f>WaterfallTable[[#This Row],[Beg Pref Accrued]]+WaterfallTable[[#This Row],[Pref Accrued]]-WaterfallTable[[#This Row],[Pref Paid]]</f>
        <v>30132</v>
      </c>
      <c r="I5" s="13">
        <f>WaterfallTable[[#This Row],[Capital]]-WaterfallTable[[#This Row],[A Capital Returned]]</f>
        <v>300000</v>
      </c>
      <c r="J5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5" s="13">
        <f>WaterfallTable[[#This Row],[Pref Paid]]+WaterfallTable[[#This Row],[A Capital Returned]]+WaterfallTable[[#This Row],[A Residual]]</f>
        <v>17868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0</v>
      </c>
      <c r="N5" s="13">
        <f>WaterfallTable[[#This Row],[B Capital]]-WaterfallTable[[#This Row],[B Capital Returned]]</f>
        <v>597500</v>
      </c>
      <c r="O5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Row],[Capital]]*ClassAPreferredReturn</f>
        <v>24000</v>
      </c>
      <c r="E6" s="13">
        <f>IF(WaterfallTable[[#This Row],[Year]]=0,0,MIN(WaterfallTable[[#This Row],[Cash Available]],WaterfallTable[[#This Row],[Beg Pref Accrued]]+WaterfallTable[[#This Row],[Pref Accrued]]))</f>
        <v>54132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Row],[Pref Paid]]),WaterfallTable[[#This Row],[Capital]]))</f>
        <v>300000</v>
      </c>
      <c r="H6" s="13">
        <f>WaterfallTable[[#This Row],[Beg Pref Accrued]]+WaterfallTable[[#This Row],[Pref Accrued]]-WaterfallTable[[#This Row],[Pref Paid]]</f>
        <v>0</v>
      </c>
      <c r="I6" s="13">
        <f>WaterfallTable[[#This Row],[Capital]]-WaterfallTable[[#This Row],[A Capital Returned]]</f>
        <v>0</v>
      </c>
      <c r="J6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6" s="13">
        <f>WaterfallTable[[#This Row],[Pref Paid]]+WaterfallTable[[#This Row],[A Capital Returned]]+WaterfallTable[[#This Row],[A Residual]]</f>
        <v>354132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195554.64200326637</v>
      </c>
      <c r="N6" s="13">
        <f>WaterfallTable[[#This Row],[B Capital]]-WaterfallTable[[#This Row],[B Capital Returned]]</f>
        <v>401945.35799673363</v>
      </c>
      <c r="O6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195554.64200326637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25250.482003266567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Row],[Capital]]*ClassAPreferredReturn</f>
        <v>0</v>
      </c>
      <c r="E7" s="13">
        <f>IF(WaterfallTable[[#This Row],[Year]]=0,0,MIN(WaterfallTable[[#This Row],[Cash Available]],WaterfallTable[[#This Row],[Beg Pref Accrued]]+WaterfallTable[[#This Row],[Pref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Row],[Pref Paid]]),WaterfallTable[[#This Row],[Capital]]))</f>
        <v>0</v>
      </c>
      <c r="H7" s="13">
        <f>WaterfallTable[[#This Row],[Beg Pref Accrued]]+WaterfallTable[[#This Row],[Pref Accrued]]-WaterfallTable[[#This Row],[Pref Paid]]</f>
        <v>0</v>
      </c>
      <c r="I7" s="13">
        <f>WaterfallTable[[#This Row],[Capital]]-WaterfallTable[[#This Row],[A Capital Returned]]</f>
        <v>0</v>
      </c>
      <c r="J7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7" s="13">
        <f>WaterfallTable[[#This Row],[Pref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401945.35799673363</v>
      </c>
      <c r="M7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7" s="13">
        <f>WaterfallTable[[#This Row],[B Capital]]-WaterfallTable[[#This Row],[B Capital Returned]]</f>
        <v>376694.87599346705</v>
      </c>
      <c r="O7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25250.482003266567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25250.482003266567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Row],[Capital]]*ClassAPreferredReturn</f>
        <v>0</v>
      </c>
      <c r="E8" s="13">
        <f>IF(WaterfallTable[[#This Row],[Year]]=0,0,MIN(WaterfallTable[[#This Row],[Cash Available]],WaterfallTable[[#This Row],[Beg Pref Accrued]]+WaterfallTable[[#This Row],[Pref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Row],[Pref Paid]]),WaterfallTable[[#This Row],[Capital]]))</f>
        <v>0</v>
      </c>
      <c r="H8" s="13">
        <f>WaterfallTable[[#This Row],[Beg Pref Accrued]]+WaterfallTable[[#This Row],[Pref Accrued]]-WaterfallTable[[#This Row],[Pref Paid]]</f>
        <v>0</v>
      </c>
      <c r="I8" s="13">
        <f>WaterfallTable[[#This Row],[Capital]]-WaterfallTable[[#This Row],[A Capital Returned]]</f>
        <v>0</v>
      </c>
      <c r="J8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8" s="13">
        <f>WaterfallTable[[#This Row],[Pref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376694.87599346705</v>
      </c>
      <c r="M8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8" s="13">
        <f>WaterfallTable[[#This Row],[B Capital]]-WaterfallTable[[#This Row],[B Capital Returned]]</f>
        <v>351444.39399020048</v>
      </c>
      <c r="O8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25250.482003266567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25250.482003266567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Row],[Capital]]*ClassAPreferredReturn</f>
        <v>0</v>
      </c>
      <c r="E9" s="13">
        <f>IF(WaterfallTable[[#This Row],[Year]]=0,0,MIN(WaterfallTable[[#This Row],[Cash Available]],WaterfallTable[[#This Row],[Beg Pref Accrued]]+WaterfallTable[[#This Row],[Pref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Row],[Pref Paid]]),WaterfallTable[[#This Row],[Capital]]))</f>
        <v>0</v>
      </c>
      <c r="H9" s="13">
        <f>WaterfallTable[[#This Row],[Beg Pref Accrued]]+WaterfallTable[[#This Row],[Pref Accrued]]-WaterfallTable[[#This Row],[Pref Paid]]</f>
        <v>0</v>
      </c>
      <c r="I9" s="13">
        <f>WaterfallTable[[#This Row],[Capital]]-WaterfallTable[[#This Row],[A Capital Returned]]</f>
        <v>0</v>
      </c>
      <c r="J9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9" s="13">
        <f>WaterfallTable[[#This Row],[Pref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351444.39399020048</v>
      </c>
      <c r="M9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9" s="13">
        <f>WaterfallTable[[#This Row],[B Capital]]-WaterfallTable[[#This Row],[B Capital Returned]]</f>
        <v>326193.9119869339</v>
      </c>
      <c r="O9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25250.482003266567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25250.482003266567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Row],[Capital]]*ClassAPreferredReturn</f>
        <v>0</v>
      </c>
      <c r="E10" s="13">
        <f>IF(WaterfallTable[[#This Row],[Year]]=0,0,MIN(WaterfallTable[[#This Row],[Cash Available]],WaterfallTable[[#This Row],[Beg Pref Accrued]]+WaterfallTable[[#This Row],[Pref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Row],[Pref Paid]]),WaterfallTable[[#This Row],[Capital]]))</f>
        <v>0</v>
      </c>
      <c r="H10" s="13">
        <f>WaterfallTable[[#This Row],[Beg Pref Accrued]]+WaterfallTable[[#This Row],[Pref Accrued]]-WaterfallTable[[#This Row],[Pref Paid]]</f>
        <v>0</v>
      </c>
      <c r="I10" s="13">
        <f>WaterfallTable[[#This Row],[Capital]]-WaterfallTable[[#This Row],[A Capital Returned]]</f>
        <v>0</v>
      </c>
      <c r="J10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10" s="13">
        <f>WaterfallTable[[#This Row],[Pref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326193.9119869339</v>
      </c>
      <c r="M10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10" s="13">
        <f>WaterfallTable[[#This Row],[B Capital]]-WaterfallTable[[#This Row],[B Capital Returned]]</f>
        <v>300943.42998366733</v>
      </c>
      <c r="O10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25250.482003266567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25250.482003266567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Row],[Capital]]*ClassAPreferredReturn</f>
        <v>0</v>
      </c>
      <c r="E11" s="13">
        <f>IF(WaterfallTable[[#This Row],[Year]]=0,0,MIN(WaterfallTable[[#This Row],[Cash Available]],WaterfallTable[[#This Row],[Beg Pref Accrued]]+WaterfallTable[[#This Row],[Pref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Row],[Pref Paid]]),WaterfallTable[[#This Row],[Capital]]))</f>
        <v>0</v>
      </c>
      <c r="H11" s="13">
        <f>WaterfallTable[[#This Row],[Beg Pref Accrued]]+WaterfallTable[[#This Row],[Pref Accrued]]-WaterfallTable[[#This Row],[Pref Paid]]</f>
        <v>0</v>
      </c>
      <c r="I11" s="13">
        <f>WaterfallTable[[#This Row],[Capital]]-WaterfallTable[[#This Row],[A Capital Returned]]</f>
        <v>0</v>
      </c>
      <c r="J11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11" s="13">
        <f>WaterfallTable[[#This Row],[Pref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300943.42998366733</v>
      </c>
      <c r="M11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11" s="13">
        <f>WaterfallTable[[#This Row],[B Capital]]-WaterfallTable[[#This Row],[B Capital Returned]]</f>
        <v>275692.94798040076</v>
      </c>
      <c r="O11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25250.482003266567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25250.482003266567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Row],[Capital]]*ClassAPreferredReturn</f>
        <v>0</v>
      </c>
      <c r="E12" s="13">
        <f>IF(WaterfallTable[[#This Row],[Year]]=0,0,MIN(WaterfallTable[[#This Row],[Cash Available]],WaterfallTable[[#This Row],[Beg Pref Accrued]]+WaterfallTable[[#This Row],[Pref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Row],[Pref Paid]]),WaterfallTable[[#This Row],[Capital]]))</f>
        <v>0</v>
      </c>
      <c r="H12" s="13">
        <f>WaterfallTable[[#This Row],[Beg Pref Accrued]]+WaterfallTable[[#This Row],[Pref Accrued]]-WaterfallTable[[#This Row],[Pref Paid]]</f>
        <v>0</v>
      </c>
      <c r="I12" s="13">
        <f>WaterfallTable[[#This Row],[Capital]]-WaterfallTable[[#This Row],[A Capital Returned]]</f>
        <v>0</v>
      </c>
      <c r="J12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12" s="13">
        <f>WaterfallTable[[#This Row],[Pref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275692.94798040076</v>
      </c>
      <c r="M12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12" s="13">
        <f>WaterfallTable[[#This Row],[B Capital]]-WaterfallTable[[#This Row],[B Capital Returned]]</f>
        <v>250442.46597713418</v>
      </c>
      <c r="O12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25250.482003266567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25250.482003266567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Row],[Capital]]*ClassAPreferredReturn</f>
        <v>0</v>
      </c>
      <c r="E13" s="13">
        <f>IF(WaterfallTable[[#This Row],[Year]]=0,0,MIN(WaterfallTable[[#This Row],[Cash Available]],WaterfallTable[[#This Row],[Beg Pref Accrued]]+WaterfallTable[[#This Row],[Pref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Row],[Pref Paid]]),WaterfallTable[[#This Row],[Capital]]))</f>
        <v>0</v>
      </c>
      <c r="H13" s="13">
        <f>WaterfallTable[[#This Row],[Beg Pref Accrued]]+WaterfallTable[[#This Row],[Pref Accrued]]-WaterfallTable[[#This Row],[Pref Paid]]</f>
        <v>0</v>
      </c>
      <c r="I13" s="13">
        <f>WaterfallTable[[#This Row],[Capital]]-WaterfallTable[[#This Row],[A Capital Returned]]</f>
        <v>0</v>
      </c>
      <c r="J13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K13" s="13">
        <f>WaterfallTable[[#This Row],[Pref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250442.46597713418</v>
      </c>
      <c r="M13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25250.482003266567</v>
      </c>
      <c r="N13" s="13">
        <f>WaterfallTable[[#This Row],[B Capital]]-WaterfallTable[[#This Row],[B Capital Returned]]</f>
        <v>225191.98397386761</v>
      </c>
      <c r="O13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25250.482003266567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1183926.3220032663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Row],[Capital]]*ClassAPreferredReturn</f>
        <v>0</v>
      </c>
      <c r="E14" s="13">
        <f>IF(WaterfallTable[[#This Row],[Year]]=0,0,MIN(WaterfallTable[[#This Row],[Cash Available]],WaterfallTable[[#This Row],[Beg Pref Accrued]]+WaterfallTable[[#This Row],[Pref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Row],[Pref Paid]]),WaterfallTable[[#This Row],[Capital]]))</f>
        <v>0</v>
      </c>
      <c r="H14" s="13">
        <f>WaterfallTable[[#This Row],[Beg Pref Accrued]]+WaterfallTable[[#This Row],[Pref Accrued]]-WaterfallTable[[#This Row],[Pref Paid]]</f>
        <v>0</v>
      </c>
      <c r="I14" s="13">
        <f>WaterfallTable[[#This Row],[Capital]]-WaterfallTable[[#This Row],[A Capital Returned]]</f>
        <v>0</v>
      </c>
      <c r="J1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192280.98144322203</v>
      </c>
      <c r="K14" s="13">
        <f>WaterfallTable[[#This Row],[Pref Paid]]+WaterfallTable[[#This Row],[A Capital Returned]]+WaterfallTable[[#This Row],[A Residual]]</f>
        <v>192280.98144322203</v>
      </c>
      <c r="L14" s="13">
        <f>IF(WaterfallTable[[#This Row],[Year]]=0,ClassBCapital,INDEX(WaterfallTable[B End Capital],MATCH(WaterfallTable[[#This Row],[Year]]-1,WaterfallTable[Year],0)))</f>
        <v>225191.98397386761</v>
      </c>
      <c r="M14" s="13">
        <f>IF(WaterfallTable[[#This Row],[Year]]=0,0,IF(ClassBReturnPriority=1,MIN(MAX(0,WaterfallTable[[#This Row],[Cash Available]]-WaterfallTable[[#This Row],[Pref Paid]]-WaterfallTable[[#This Row],[A Capital Returned]]),WaterfallTable[[#This Row],[B Capital]]),0))</f>
        <v>225191.98397386761</v>
      </c>
      <c r="N14" s="13">
        <f>WaterfallTable[[#This Row],[B Capital]]-WaterfallTable[[#This Row],[B Capital Returned]]</f>
        <v>0</v>
      </c>
      <c r="O1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382959.62137441721</v>
      </c>
      <c r="P14" s="13">
        <f>WaterfallTable[[#This Row],[B Capital Returned]]+WaterfallTable[[#This Row],[B Residual]]</f>
        <v>608151.60534828482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383493.73521175951</v>
      </c>
      <c r="S14" s="13">
        <f>WaterfallTable[[#This Row],[Property Payment]]+WaterfallTable[[#This Row],[Residual]]</f>
        <v>383493.73521175951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282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6" t="s">
        <v>73</v>
      </c>
      <c r="B18" s="52" t="s">
        <v>74</v>
      </c>
      <c r="C18" s="52" t="s">
        <v>79</v>
      </c>
      <c r="D18" s="52" t="s">
        <v>80</v>
      </c>
      <c r="E18" s="52" t="s">
        <v>81</v>
      </c>
      <c r="F18" s="52" t="s">
        <v>82</v>
      </c>
      <c r="G18" s="52" t="s">
        <v>83</v>
      </c>
      <c r="H18" s="52" t="s">
        <v>84</v>
      </c>
      <c r="I18" s="52" t="s">
        <v>85</v>
      </c>
      <c r="J18" s="52" t="s">
        <v>86</v>
      </c>
      <c r="K18" s="52" t="s">
        <v>87</v>
      </c>
      <c r="L18" s="52" t="s">
        <v>88</v>
      </c>
      <c r="M18" s="52" t="s">
        <v>89</v>
      </c>
      <c r="N18" s="52" t="s">
        <v>90</v>
      </c>
      <c r="O18" s="52" t="s">
        <v>313</v>
      </c>
      <c r="P18" s="52" t="s">
        <v>75</v>
      </c>
      <c r="Q18" s="52" t="s">
        <v>77</v>
      </c>
      <c r="R18" s="61" t="s">
        <v>78</v>
      </c>
      <c r="S18" s="42"/>
    </row>
    <row r="19" spans="1:19" x14ac:dyDescent="0.25">
      <c r="A19" s="57" t="s">
        <v>91</v>
      </c>
      <c r="B19" s="43">
        <f>ClassACapital</f>
        <v>300000</v>
      </c>
      <c r="C19" s="44">
        <f>IFERROR(IRR(ReturnsTable[[#This Row],[Year 0]:[Year 10]]),0)</f>
        <v>0.18840980846933797</v>
      </c>
      <c r="D19" s="43">
        <f>-ReturnsTable[[#This Row],[Capital / Basis]]</f>
        <v>-300000</v>
      </c>
      <c r="E19" s="43">
        <f>INDEX(WaterfallTable[A Total Dist],MATCH(1,WaterfallTable[Year],0))</f>
        <v>17868</v>
      </c>
      <c r="F19" s="43">
        <f>INDEX(WaterfallTable[A Total Dist],MATCH(2,WaterfallTable[Year],0))</f>
        <v>354132</v>
      </c>
      <c r="G19" s="43">
        <f>INDEX(WaterfallTable[A Total Dist],MATCH(3,WaterfallTable[Year],0))</f>
        <v>0</v>
      </c>
      <c r="H19" s="43">
        <f>INDEX(WaterfallTable[A Total Dist],MATCH(4,WaterfallTable[Year],0))</f>
        <v>0</v>
      </c>
      <c r="I19" s="43">
        <f>INDEX(WaterfallTable[A Total Dist],MATCH(5,WaterfallTable[Year],0))</f>
        <v>0</v>
      </c>
      <c r="J19" s="43">
        <f>INDEX(WaterfallTable[A Total Dist],MATCH(6,WaterfallTable[Year],0))</f>
        <v>0</v>
      </c>
      <c r="K19" s="43">
        <f>INDEX(WaterfallTable[A Total Dist],MATCH(7,WaterfallTable[Year],0))</f>
        <v>0</v>
      </c>
      <c r="L19" s="43">
        <f>INDEX(WaterfallTable[A Total Dist],MATCH(8,WaterfallTable[Year],0))</f>
        <v>0</v>
      </c>
      <c r="M19" s="43">
        <f>INDEX(WaterfallTable[A Total Dist],MATCH(9,WaterfallTable[Year],0))</f>
        <v>0</v>
      </c>
      <c r="N19" s="43">
        <f>INDEX(WaterfallTable[A Total Dist],MATCH(10,WaterfallTable[Year],0))</f>
        <v>192280.98144322203</v>
      </c>
      <c r="O19" s="43">
        <f>SUM(ReturnsTable[[#This Row],[Year 0]:[Year 10]])</f>
        <v>264280.98144322203</v>
      </c>
      <c r="P19" s="43">
        <f>ReturnsTable[[#This Row],[Total Profit]]+ReturnsTable[[#This Row],[Capital / Basis]]</f>
        <v>564280.98144322203</v>
      </c>
      <c r="Q19" s="45">
        <f>IFERROR(ReturnsTable[[#This Row],[Total Distributions]]/ReturnsTable[[#This Row],[Capital / Basis]],0)</f>
        <v>1.8809366048107401</v>
      </c>
      <c r="R19" s="62">
        <f>IFERROR(ReturnsTable[[#This Row],[Total Profit]]/ReturnsTable[[#This Row],[Capital / Basis]],0)</f>
        <v>0.8809366048107401</v>
      </c>
      <c r="S19" s="42"/>
    </row>
    <row r="20" spans="1:19" x14ac:dyDescent="0.25">
      <c r="A20" s="58" t="s">
        <v>92</v>
      </c>
      <c r="B20" s="46">
        <f>ClassBCapital</f>
        <v>597500</v>
      </c>
      <c r="C20" s="47">
        <f>IFERROR(IRR(ReturnsTable[[#This Row],[Year 0]:[Year 10]]),0)</f>
        <v>7.0343273569338338E-2</v>
      </c>
      <c r="D20" s="46">
        <f>-ReturnsTable[[#This Row],[Capital / Basis]]</f>
        <v>-597500</v>
      </c>
      <c r="E20" s="46">
        <f>INDEX(WaterfallTable[B Total Dist],MATCH(1,WaterfallTable[Year],0))</f>
        <v>0</v>
      </c>
      <c r="F20" s="46">
        <f>INDEX(WaterfallTable[B Total Dist],MATCH(2,WaterfallTable[Year],0))</f>
        <v>195554.64200326637</v>
      </c>
      <c r="G20" s="46">
        <f>INDEX(WaterfallTable[B Total Dist],MATCH(3,WaterfallTable[Year],0))</f>
        <v>25250.482003266567</v>
      </c>
      <c r="H20" s="46">
        <f>INDEX(WaterfallTable[B Total Dist],MATCH(4,WaterfallTable[Year],0))</f>
        <v>25250.482003266567</v>
      </c>
      <c r="I20" s="46">
        <f>INDEX(WaterfallTable[B Total Dist],MATCH(5,WaterfallTable[Year],0))</f>
        <v>25250.482003266567</v>
      </c>
      <c r="J20" s="46">
        <f>INDEX(WaterfallTable[B Total Dist],MATCH(6,WaterfallTable[Year],0))</f>
        <v>25250.482003266567</v>
      </c>
      <c r="K20" s="46">
        <f>INDEX(WaterfallTable[B Total Dist],MATCH(7,WaterfallTable[Year],0))</f>
        <v>25250.482003266567</v>
      </c>
      <c r="L20" s="46">
        <f>INDEX(WaterfallTable[B Total Dist],MATCH(8,WaterfallTable[Year],0))</f>
        <v>25250.482003266567</v>
      </c>
      <c r="M20" s="46">
        <f>INDEX(WaterfallTable[B Total Dist],MATCH(9,WaterfallTable[Year],0))</f>
        <v>25250.482003266567</v>
      </c>
      <c r="N20" s="46">
        <f>INDEX(WaterfallTable[B Total Dist],MATCH(10,WaterfallTable[Year],0))</f>
        <v>608151.60534828482</v>
      </c>
      <c r="O20" s="46">
        <f>SUM(ReturnsTable[[#This Row],[Year 0]:[Year 10]])</f>
        <v>382959.62137441721</v>
      </c>
      <c r="P20" s="46">
        <f>ReturnsTable[[#This Row],[Total Profit]]+ReturnsTable[[#This Row],[Capital / Basis]]</f>
        <v>980459.62137441721</v>
      </c>
      <c r="Q20" s="48">
        <f>IFERROR(ReturnsTable[[#This Row],[Total Distributions]]/ReturnsTable[[#This Row],[Capital / Basis]],0)</f>
        <v>1.6409366048107401</v>
      </c>
      <c r="R20" s="63">
        <f>IFERROR(ReturnsTable[[#This Row],[Total Profit]]/ReturnsTable[[#This Row],[Capital / Basis]],0)</f>
        <v>0.64093660481074011</v>
      </c>
      <c r="S20" s="42"/>
    </row>
    <row r="21" spans="1:19" x14ac:dyDescent="0.25">
      <c r="A21" s="59" t="s">
        <v>93</v>
      </c>
      <c r="B21" s="49">
        <f>SponsorBasis</f>
        <v>150000</v>
      </c>
      <c r="C21" s="50">
        <f>IFERROR(IRR(ReturnsTable[[#This Row],[Year 0]:[Year 10]]),0)</f>
        <v>0</v>
      </c>
      <c r="D21" s="49">
        <f>INDEX(WaterfallTable[Total Dist],MATCH(0,WaterfallTable[Year],0))</f>
        <v>150000</v>
      </c>
      <c r="E21" s="49">
        <f>INDEX(WaterfallTable[Total Dist],MATCH(1,WaterfallTable[Year],0))</f>
        <v>0</v>
      </c>
      <c r="F21" s="49">
        <f>INDEX(WaterfallTable[Total Dist],MATCH(2,WaterfallTable[Year],0))</f>
        <v>0</v>
      </c>
      <c r="G21" s="49">
        <f>INDEX(WaterfallTable[Total Dist],MATCH(3,WaterfallTable[Year],0))</f>
        <v>0</v>
      </c>
      <c r="H21" s="49">
        <f>INDEX(WaterfallTable[Total Dist],MATCH(4,WaterfallTable[Year],0))</f>
        <v>0</v>
      </c>
      <c r="I21" s="49">
        <f>INDEX(WaterfallTable[Total Dist],MATCH(5,WaterfallTable[Year],0))</f>
        <v>0</v>
      </c>
      <c r="J21" s="49">
        <f>INDEX(WaterfallTable[Total Dist],MATCH(6,WaterfallTable[Year],0))</f>
        <v>0</v>
      </c>
      <c r="K21" s="49">
        <f>INDEX(WaterfallTable[Total Dist],MATCH(7,WaterfallTable[Year],0))</f>
        <v>0</v>
      </c>
      <c r="L21" s="49">
        <f>INDEX(WaterfallTable[Total Dist],MATCH(8,WaterfallTable[Year],0))</f>
        <v>0</v>
      </c>
      <c r="M21" s="49">
        <f>INDEX(WaterfallTable[Total Dist],MATCH(9,WaterfallTable[Year],0))</f>
        <v>0</v>
      </c>
      <c r="N21" s="49">
        <f>INDEX(WaterfallTable[Total Dist],MATCH(10,WaterfallTable[Year],0))</f>
        <v>383493.73521175951</v>
      </c>
      <c r="O21" s="49">
        <f>SUM(ReturnsTable[[#This Row],[Year 0]:[Year 10]])</f>
        <v>533493.73521175957</v>
      </c>
      <c r="P21" s="49">
        <f>ReturnsTable[[#This Row],[Total Profit]]+ReturnsTable[[#This Row],[Capital / Basis]]</f>
        <v>683493.73521175957</v>
      </c>
      <c r="Q21" s="51">
        <f>IFERROR(ReturnsTable[[#This Row],[Total Distributions]]/ReturnsTable[[#This Row],[Capital / Basis]],0)</f>
        <v>4.5566249014117304</v>
      </c>
      <c r="R21" s="64">
        <f>IFERROR(ReturnsTable[[#This Row],[Total Profit]]/ReturnsTable[[#This Row],[Capital / Basis]],0)</f>
        <v>3.5566249014117304</v>
      </c>
      <c r="S21" s="42"/>
    </row>
    <row r="22" spans="1:19" x14ac:dyDescent="0.25">
      <c r="A22" s="60" t="s">
        <v>301</v>
      </c>
      <c r="B22" s="53">
        <f>0</f>
        <v>0</v>
      </c>
      <c r="C22" s="54">
        <f>0</f>
        <v>0</v>
      </c>
      <c r="D22" s="53">
        <f>0</f>
        <v>0</v>
      </c>
      <c r="E22" s="53">
        <f>ManagementFeeRate*INDEX(AnnualModelTable[Effective Gross Income],MATCH(1,AnnualModelTable[Year],0))</f>
        <v>3168</v>
      </c>
      <c r="F22" s="53">
        <f>ManagementFeeRate*INDEX(AnnualModelTable[Effective Gross Income],MATCH(2,AnnualModelTable[Year],0))</f>
        <v>7231.6799999999994</v>
      </c>
      <c r="G22" s="53">
        <f>ManagementFeeRate*INDEX(AnnualModelTable[Effective Gross Income],MATCH(3,AnnualModelTable[Year],0))</f>
        <v>8035.2</v>
      </c>
      <c r="H22" s="53">
        <f>ManagementFeeRate*INDEX(AnnualModelTable[Effective Gross Income],MATCH(4,AnnualModelTable[Year],0))</f>
        <v>8035.2</v>
      </c>
      <c r="I22" s="53">
        <f>ManagementFeeRate*INDEX(AnnualModelTable[Effective Gross Income],MATCH(5,AnnualModelTable[Year],0))</f>
        <v>8035.2</v>
      </c>
      <c r="J22" s="53">
        <f>ManagementFeeRate*INDEX(AnnualModelTable[Effective Gross Income],MATCH(6,AnnualModelTable[Year],0))</f>
        <v>8035.2</v>
      </c>
      <c r="K22" s="53">
        <f>ManagementFeeRate*INDEX(AnnualModelTable[Effective Gross Income],MATCH(7,AnnualModelTable[Year],0))</f>
        <v>8035.2</v>
      </c>
      <c r="L22" s="53">
        <f>ManagementFeeRate*INDEX(AnnualModelTable[Effective Gross Income],MATCH(8,AnnualModelTable[Year],0))</f>
        <v>8035.2</v>
      </c>
      <c r="M22" s="53">
        <f>ManagementFeeRate*INDEX(AnnualModelTable[Effective Gross Income],MATCH(9,AnnualModelTable[Year],0))</f>
        <v>8035.2</v>
      </c>
      <c r="N22" s="53">
        <f>ManagementFeeRate*INDEX(AnnualModelTable[Effective Gross Income],MATCH(10,AnnualModelTable[Year],0))</f>
        <v>8035.2</v>
      </c>
      <c r="O22" s="53">
        <f>SUM(ReturnsTable[[#This Row],[Year 0]:[Year 10]])</f>
        <v>74681.279999999984</v>
      </c>
      <c r="P22" s="53">
        <f>ReturnsTable[[#This Row],[Total Profit]]</f>
        <v>74681.279999999984</v>
      </c>
      <c r="Q22" s="55">
        <f>0</f>
        <v>0</v>
      </c>
      <c r="R22" s="65">
        <f>0</f>
        <v>0</v>
      </c>
      <c r="S22" s="4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9" t="s">
        <v>283</v>
      </c>
      <c r="B1" s="67"/>
      <c r="C1" s="67"/>
      <c r="D1" s="6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SUM(Waterfall!$K$4:$K$14)</f>
        <v>564280.98144322203</v>
      </c>
      <c r="D4" s="13">
        <f>C4-B4</f>
        <v>264280.98144322203</v>
      </c>
      <c r="E4" s="13">
        <f>IFERROR(C4/B4,0)</f>
        <v>1.8809366048107401</v>
      </c>
      <c r="F4" s="24">
        <f>IFERROR(D4/B4,0)</f>
        <v>0.8809366048107401</v>
      </c>
      <c r="G4" s="24">
        <f>IRR(H4:R4)</f>
        <v>0.18840980846933797</v>
      </c>
      <c r="H4" s="13">
        <f>-B4</f>
        <v>-300000</v>
      </c>
      <c r="I4" s="13">
        <f>INDEX(Waterfall!$K$4:$K$14,MATCH(1,Waterfall!$A$4:$A$14,0))</f>
        <v>17868</v>
      </c>
      <c r="J4" s="13">
        <f>INDEX(Waterfall!$K$4:$K$14,MATCH(2,Waterfall!$A$4:$A$14,0))</f>
        <v>354132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192280.98144322203</v>
      </c>
    </row>
    <row r="5" spans="1:20" x14ac:dyDescent="0.25">
      <c r="A5" s="13" t="s">
        <v>92</v>
      </c>
      <c r="B5" s="13">
        <f>ClassBCapital</f>
        <v>597500</v>
      </c>
      <c r="C5" s="13">
        <f>SUM(Waterfall!$P$4:$P$14)</f>
        <v>980459.62137441721</v>
      </c>
      <c r="D5" s="13">
        <f>C5-B5</f>
        <v>382959.62137441721</v>
      </c>
      <c r="E5" s="13">
        <f>IFERROR(C5/B5,0)</f>
        <v>1.6409366048107401</v>
      </c>
      <c r="F5" s="24">
        <f>IFERROR(D5/B5,0)</f>
        <v>0.64093660481074011</v>
      </c>
      <c r="G5" s="24">
        <f>IFERROR(IRR(H5:R5),0)</f>
        <v>7.0343273569338338E-2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195554.64200326637</v>
      </c>
      <c r="K5" s="13">
        <f>INDEX(Waterfall!$P$4:$P$14,MATCH(3,Waterfall!$A$4:$A$14,0))</f>
        <v>25250.482003266567</v>
      </c>
      <c r="L5" s="13">
        <f>INDEX(Waterfall!$P$4:$P$14,MATCH(4,Waterfall!$A$4:$A$14,0))</f>
        <v>25250.482003266567</v>
      </c>
      <c r="M5" s="13">
        <f>INDEX(Waterfall!$P$4:$P$14,MATCH(5,Waterfall!$A$4:$A$14,0))</f>
        <v>25250.482003266567</v>
      </c>
      <c r="N5" s="13">
        <f>INDEX(Waterfall!$P$4:$P$14,MATCH(6,Waterfall!$A$4:$A$14,0))</f>
        <v>25250.482003266567</v>
      </c>
      <c r="O5" s="13">
        <f>INDEX(Waterfall!$P$4:$P$14,MATCH(7,Waterfall!$A$4:$A$14,0))</f>
        <v>25250.482003266567</v>
      </c>
      <c r="P5" s="13">
        <f>INDEX(Waterfall!$P$4:$P$14,MATCH(8,Waterfall!$A$4:$A$14,0))</f>
        <v>25250.482003266567</v>
      </c>
      <c r="Q5" s="13">
        <f>INDEX(Waterfall!$P$4:$P$14,MATCH(9,Waterfall!$A$4:$A$14,0))</f>
        <v>25250.482003266567</v>
      </c>
      <c r="R5" s="13">
        <f>INDEX(Waterfall!$P$4:$P$14,MATCH(10,Waterfall!$A$4:$A$14,0))</f>
        <v>608151.60534828482</v>
      </c>
    </row>
    <row r="6" spans="1:20" x14ac:dyDescent="0.25">
      <c r="A6" s="13" t="s">
        <v>93</v>
      </c>
      <c r="B6" s="13">
        <f>SponsorBasis</f>
        <v>150000</v>
      </c>
      <c r="C6" s="13">
        <f>SUM(Waterfall!$S$4:$S$14)</f>
        <v>533493.73521175957</v>
      </c>
      <c r="D6" s="13">
        <f>C6-B6</f>
        <v>383493.73521175957</v>
      </c>
      <c r="E6" s="13">
        <f>IFERROR(C6/B6,0)</f>
        <v>3.5566249014117304</v>
      </c>
      <c r="F6" s="24">
        <f>IFERROR(D6/B6,0)</f>
        <v>2.5566249014117304</v>
      </c>
      <c r="G6" s="24">
        <f>IFERROR(IRR(H6:R6),0)</f>
        <v>9.8415623317531065E-2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383493.73521175951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6" t="s">
        <v>272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7" t="s">
        <v>107</v>
      </c>
      <c r="C2" s="67"/>
      <c r="D2" s="67"/>
    </row>
    <row r="3" spans="1:10" x14ac:dyDescent="0.25">
      <c r="A3" s="13" t="s">
        <v>108</v>
      </c>
      <c r="B3" s="77" t="s">
        <v>109</v>
      </c>
      <c r="C3" s="67"/>
      <c r="D3" s="67"/>
      <c r="E3" s="67"/>
      <c r="F3" s="67"/>
      <c r="G3" s="67"/>
      <c r="H3" s="67"/>
      <c r="I3" s="67"/>
    </row>
    <row r="4" spans="1:10" x14ac:dyDescent="0.25">
      <c r="A4" s="13"/>
      <c r="B4" s="13"/>
      <c r="C4" s="77"/>
      <c r="D4" s="70"/>
      <c r="E4" s="70"/>
      <c r="F4" s="70"/>
      <c r="H4" s="13"/>
    </row>
    <row r="5" spans="1:10" ht="15.75" thickBot="1" x14ac:dyDescent="0.3">
      <c r="A5" s="13"/>
      <c r="B5" s="13"/>
      <c r="C5" s="77"/>
      <c r="D5" s="70"/>
      <c r="E5" s="70"/>
      <c r="F5" s="70"/>
      <c r="H5" s="13"/>
    </row>
    <row r="6" spans="1:10" ht="15.75" thickBot="1" x14ac:dyDescent="0.3">
      <c r="A6" s="13"/>
      <c r="B6" s="32" t="s">
        <v>110</v>
      </c>
      <c r="C6" s="32" t="s">
        <v>111</v>
      </c>
      <c r="D6" s="5"/>
      <c r="E6" s="5"/>
      <c r="F6" s="5"/>
    </row>
    <row r="7" spans="1:10" ht="15.75" thickBot="1" x14ac:dyDescent="0.3">
      <c r="A7" s="12" t="s">
        <v>112</v>
      </c>
      <c r="B7" s="37" t="s">
        <v>289</v>
      </c>
      <c r="C7" s="37" t="s">
        <v>124</v>
      </c>
      <c r="E7" s="32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3">
        <f>B27</f>
        <v>897500</v>
      </c>
      <c r="C8" s="34">
        <f>C27</f>
        <v>1635000</v>
      </c>
      <c r="E8" s="32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5">
        <f>B41+B50+B59</f>
        <v>1880000</v>
      </c>
      <c r="C9" s="36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286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290</v>
      </c>
      <c r="B20" s="13">
        <v>40000</v>
      </c>
      <c r="C20" s="13">
        <v>100000</v>
      </c>
    </row>
    <row r="21" spans="1:3" x14ac:dyDescent="0.25">
      <c r="A21" s="6" t="s">
        <v>291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8">
        <v>60000</v>
      </c>
      <c r="C26" s="38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7" t="s">
        <v>163</v>
      </c>
      <c r="C62" s="67"/>
      <c r="D62" s="67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7" t="s">
        <v>167</v>
      </c>
      <c r="D66" s="67"/>
      <c r="E66" s="67"/>
      <c r="F66" s="67"/>
      <c r="G66" s="67"/>
    </row>
    <row r="67" spans="1:7" x14ac:dyDescent="0.25">
      <c r="A67" s="6" t="s">
        <v>168</v>
      </c>
      <c r="B67" s="6" t="s">
        <v>166</v>
      </c>
      <c r="C67" s="67" t="s">
        <v>167</v>
      </c>
      <c r="D67" s="67"/>
      <c r="E67" s="67"/>
      <c r="F67" s="67"/>
      <c r="G67" s="67"/>
    </row>
    <row r="68" spans="1:7" x14ac:dyDescent="0.25">
      <c r="A68" s="6" t="s">
        <v>169</v>
      </c>
      <c r="B68" s="6" t="s">
        <v>166</v>
      </c>
      <c r="C68" s="67" t="s">
        <v>167</v>
      </c>
      <c r="D68" s="67"/>
      <c r="E68" s="67"/>
      <c r="F68" s="67"/>
      <c r="G68" s="67"/>
    </row>
    <row r="69" spans="1:7" x14ac:dyDescent="0.25">
      <c r="A69" s="6" t="s">
        <v>170</v>
      </c>
      <c r="B69" s="6" t="s">
        <v>166</v>
      </c>
      <c r="C69" s="67" t="s">
        <v>167</v>
      </c>
      <c r="D69" s="67"/>
      <c r="E69" s="67"/>
      <c r="F69" s="67"/>
      <c r="G69" s="67"/>
    </row>
    <row r="70" spans="1:7" x14ac:dyDescent="0.25">
      <c r="A70" s="6" t="s">
        <v>171</v>
      </c>
      <c r="B70" s="6" t="s">
        <v>172</v>
      </c>
      <c r="C70" s="67" t="s">
        <v>173</v>
      </c>
      <c r="D70" s="67"/>
      <c r="E70" s="67"/>
      <c r="F70" s="67"/>
      <c r="G70" s="67"/>
    </row>
    <row r="71" spans="1:7" x14ac:dyDescent="0.25">
      <c r="A71" s="6" t="s">
        <v>174</v>
      </c>
      <c r="B71" s="6" t="s">
        <v>166</v>
      </c>
      <c r="C71" s="67" t="s">
        <v>175</v>
      </c>
      <c r="D71" s="67"/>
      <c r="E71" s="67"/>
      <c r="F71" s="67"/>
      <c r="G71" s="67"/>
    </row>
    <row r="72" spans="1:7" x14ac:dyDescent="0.25">
      <c r="A72" s="6" t="s">
        <v>176</v>
      </c>
      <c r="B72" s="6" t="s">
        <v>166</v>
      </c>
      <c r="C72" s="67" t="s">
        <v>177</v>
      </c>
      <c r="D72" s="67"/>
      <c r="E72" s="67"/>
      <c r="F72" s="67"/>
      <c r="G72" s="67"/>
    </row>
    <row r="73" spans="1:7" x14ac:dyDescent="0.25">
      <c r="A73" s="6" t="s">
        <v>178</v>
      </c>
      <c r="B73" s="6" t="s">
        <v>166</v>
      </c>
      <c r="C73" s="67" t="s">
        <v>179</v>
      </c>
      <c r="D73" s="67"/>
      <c r="E73" s="67"/>
      <c r="F73" s="67"/>
      <c r="G73" s="67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7" t="s">
        <v>182</v>
      </c>
      <c r="D76" s="67"/>
      <c r="E76" s="67"/>
      <c r="F76" s="67"/>
      <c r="G76" s="67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7" t="s">
        <v>188</v>
      </c>
      <c r="D81" s="67"/>
      <c r="E81" s="67"/>
      <c r="F81" s="67"/>
      <c r="G81" s="6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292</v>
      </c>
      <c r="B14" s="9">
        <v>4350</v>
      </c>
      <c r="C14" t="s">
        <v>293</v>
      </c>
    </row>
    <row r="15" spans="1:9" x14ac:dyDescent="0.25">
      <c r="A15" t="s">
        <v>206</v>
      </c>
      <c r="B15" s="9">
        <f>D15*B10</f>
        <v>7053.12</v>
      </c>
      <c r="C15" t="s">
        <v>312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8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2026-05-15T22:25:04Z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