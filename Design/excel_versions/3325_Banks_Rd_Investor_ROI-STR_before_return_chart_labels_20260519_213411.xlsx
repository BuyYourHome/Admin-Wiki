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BDACDE43-424D-4DD8-BB22-CBA9400979BA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Waterfall!$T$3</definedName>
    <definedName name="SelectedWaterfallRefiOption">Waterfall!$S$3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3" l="1"/>
  <c r="M42" i="3"/>
  <c r="L42" i="3"/>
  <c r="K42" i="3"/>
  <c r="E42" i="3"/>
  <c r="B42" i="3"/>
  <c r="N41" i="3"/>
  <c r="M41" i="3"/>
  <c r="L41" i="3"/>
  <c r="K41" i="3"/>
  <c r="E41" i="3"/>
  <c r="B41" i="3"/>
  <c r="N40" i="3"/>
  <c r="M40" i="3"/>
  <c r="L40" i="3"/>
  <c r="K40" i="3"/>
  <c r="E40" i="3"/>
  <c r="B40" i="3"/>
  <c r="N39" i="3"/>
  <c r="M39" i="3"/>
  <c r="L39" i="3"/>
  <c r="K39" i="3"/>
  <c r="E39" i="3"/>
  <c r="B39" i="3"/>
  <c r="N38" i="3"/>
  <c r="M38" i="3"/>
  <c r="L38" i="3"/>
  <c r="K38" i="3"/>
  <c r="E38" i="3"/>
  <c r="B38" i="3"/>
  <c r="N37" i="3"/>
  <c r="M37" i="3"/>
  <c r="L37" i="3"/>
  <c r="K37" i="3"/>
  <c r="E37" i="3"/>
  <c r="B37" i="3"/>
  <c r="N36" i="3"/>
  <c r="M36" i="3"/>
  <c r="L36" i="3"/>
  <c r="K36" i="3"/>
  <c r="E36" i="3"/>
  <c r="B36" i="3"/>
  <c r="N35" i="3"/>
  <c r="M35" i="3"/>
  <c r="L35" i="3"/>
  <c r="K35" i="3"/>
  <c r="E35" i="3"/>
  <c r="B35" i="3"/>
  <c r="N34" i="3"/>
  <c r="M34" i="3"/>
  <c r="L34" i="3"/>
  <c r="K34" i="3"/>
  <c r="E34" i="3"/>
  <c r="B34" i="3"/>
  <c r="AB1" i="8"/>
  <c r="D4" i="8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T22" i="3"/>
  <c r="S22" i="3"/>
  <c r="R22" i="3"/>
  <c r="E22" i="3"/>
  <c r="D22" i="3"/>
  <c r="D21" i="3"/>
  <c r="D19" i="3"/>
  <c r="C22" i="3"/>
  <c r="C21" i="3"/>
  <c r="C19" i="3"/>
  <c r="E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F42" i="3" l="1"/>
  <c r="F41" i="3"/>
  <c r="F40" i="3"/>
  <c r="F39" i="3"/>
  <c r="F38" i="3"/>
  <c r="F37" i="3"/>
  <c r="F36" i="3"/>
  <c r="F35" i="3"/>
  <c r="F34" i="3"/>
  <c r="K27" i="8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O21" i="3"/>
  <c r="O20" i="3"/>
  <c r="O19" i="3"/>
  <c r="N14" i="3"/>
  <c r="M14" i="2"/>
  <c r="Q14" i="3"/>
  <c r="P14" i="3"/>
  <c r="J14" i="3"/>
  <c r="P4" i="3"/>
  <c r="M14" i="3"/>
  <c r="M4" i="3"/>
  <c r="I14" i="3"/>
  <c r="I4" i="3"/>
  <c r="F14" i="3"/>
  <c r="E14" i="3"/>
  <c r="E4" i="3"/>
  <c r="K14" i="3"/>
  <c r="L14" i="3"/>
  <c r="L4" i="3"/>
  <c r="H14" i="3"/>
  <c r="H4" i="3"/>
  <c r="G14" i="3"/>
  <c r="G4" i="3"/>
  <c r="D4" i="3" s="1"/>
  <c r="D14" i="3"/>
  <c r="B17" i="1"/>
  <c r="L14" i="2"/>
  <c r="K14" i="2"/>
  <c r="K4" i="2"/>
  <c r="J14" i="2"/>
  <c r="O14" i="2"/>
  <c r="O9" i="3"/>
  <c r="O10" i="3"/>
  <c r="O12" i="3"/>
  <c r="D4" i="2"/>
  <c r="O7" i="3"/>
  <c r="D13" i="2"/>
  <c r="N22" i="3" s="1"/>
  <c r="D12" i="2"/>
  <c r="M22" i="3" s="1"/>
  <c r="P4" i="2"/>
  <c r="D11" i="2"/>
  <c r="L22" i="3" s="1"/>
  <c r="G4" i="2"/>
  <c r="O4" i="2"/>
  <c r="O5" i="3"/>
  <c r="D10" i="2"/>
  <c r="K22" i="3" s="1"/>
  <c r="O6" i="3"/>
  <c r="O8" i="3"/>
  <c r="O14" i="3"/>
  <c r="I4" i="2"/>
  <c r="O13" i="3"/>
  <c r="O4" i="3"/>
  <c r="O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G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Q4" i="3"/>
  <c r="E21" i="3" s="1"/>
  <c r="N4" i="3"/>
  <c r="J4" i="3"/>
  <c r="F4" i="3"/>
  <c r="G5" i="3"/>
  <c r="D5" i="3" s="1"/>
  <c r="D14" i="2"/>
  <c r="O22" i="3" s="1"/>
  <c r="G10" i="6"/>
  <c r="B29" i="6" s="1"/>
  <c r="C5" i="2" l="1"/>
  <c r="D5" i="2" s="1"/>
  <c r="F22" i="3" s="1"/>
  <c r="L29" i="8"/>
  <c r="C9" i="2" s="1"/>
  <c r="D9" i="2" s="1"/>
  <c r="J22" i="3" s="1"/>
  <c r="L27" i="8"/>
  <c r="C7" i="2" s="1"/>
  <c r="D7" i="2" s="1"/>
  <c r="H22" i="3" s="1"/>
  <c r="L28" i="8"/>
  <c r="C8" i="2" s="1"/>
  <c r="D8" i="2" s="1"/>
  <c r="I22" i="3" s="1"/>
  <c r="M4" i="2"/>
  <c r="B10" i="7"/>
  <c r="B15" i="7" s="1"/>
  <c r="B41" i="1"/>
  <c r="K4" i="3" s="1"/>
  <c r="K5" i="3" s="1"/>
  <c r="B15" i="6"/>
  <c r="B14" i="6"/>
  <c r="O25" i="8" l="1"/>
  <c r="P22" i="3"/>
  <c r="Q22" i="3" s="1"/>
  <c r="C20" i="3"/>
  <c r="E20" i="3" s="1"/>
  <c r="D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C4" i="3"/>
  <c r="J5" i="2" l="1"/>
  <c r="K5" i="2" s="1"/>
  <c r="L5" i="2" l="1"/>
  <c r="C5" i="3" s="1"/>
  <c r="H5" i="3" l="1"/>
  <c r="G6" i="3" s="1"/>
  <c r="L5" i="3" l="1"/>
  <c r="D6" i="3"/>
  <c r="E5" i="3" l="1"/>
  <c r="K6" i="3"/>
  <c r="F5" i="3" l="1"/>
  <c r="P5" i="3"/>
  <c r="Q5" i="3" s="1"/>
  <c r="F21" i="3" s="1"/>
  <c r="I5" i="3"/>
  <c r="J5" i="3" s="1"/>
  <c r="F19" i="3" s="1"/>
  <c r="M5" i="3"/>
  <c r="N5" i="3" l="1"/>
  <c r="F20" i="3" s="1"/>
  <c r="I4" i="4"/>
  <c r="I6" i="4"/>
  <c r="I5" i="4" l="1"/>
  <c r="M5" i="2"/>
  <c r="N5" i="2" s="1"/>
  <c r="J6" i="2" s="1"/>
  <c r="K6" i="2" s="1"/>
  <c r="L6" i="2" l="1"/>
  <c r="C6" i="3" s="1"/>
  <c r="H6" i="3" s="1"/>
  <c r="L6" i="3" l="1"/>
  <c r="K7" i="3" s="1"/>
  <c r="G7" i="3"/>
  <c r="D7" i="3" s="1"/>
  <c r="E6" i="3" l="1"/>
  <c r="F6" i="3" s="1"/>
  <c r="I6" i="3" l="1"/>
  <c r="J6" i="3" s="1"/>
  <c r="G19" i="3" s="1"/>
  <c r="P6" i="3"/>
  <c r="Q6" i="3" s="1"/>
  <c r="J6" i="4" s="1"/>
  <c r="M6" i="3"/>
  <c r="N6" i="3" s="1"/>
  <c r="G20" i="3" s="1"/>
  <c r="J5" i="4" l="1"/>
  <c r="J4" i="4"/>
  <c r="M6" i="2"/>
  <c r="N6" i="2" s="1"/>
  <c r="J7" i="2" s="1"/>
  <c r="K7" i="2" s="1"/>
  <c r="G21" i="3"/>
  <c r="L7" i="2" l="1"/>
  <c r="C7" i="3" s="1"/>
  <c r="H7" i="3" s="1"/>
  <c r="L7" i="3" s="1"/>
  <c r="G8" i="3" l="1"/>
  <c r="D8" i="3" s="1"/>
  <c r="E7" i="3"/>
  <c r="F7" i="3" s="1"/>
  <c r="K8" i="3"/>
  <c r="I7" i="3" l="1"/>
  <c r="J7" i="3" s="1"/>
  <c r="M7" i="3"/>
  <c r="N7" i="3" s="1"/>
  <c r="H20" i="3" s="1"/>
  <c r="P7" i="3"/>
  <c r="Q7" i="3" s="1"/>
  <c r="H21" i="3" s="1"/>
  <c r="M7" i="2" l="1"/>
  <c r="N7" i="2" s="1"/>
  <c r="J8" i="2" s="1"/>
  <c r="K8" i="2" s="1"/>
  <c r="H19" i="3"/>
  <c r="K6" i="4"/>
  <c r="K5" i="4"/>
  <c r="K4" i="4"/>
  <c r="L8" i="2" l="1"/>
  <c r="C8" i="3" s="1"/>
  <c r="H8" i="3" l="1"/>
  <c r="L8" i="3" l="1"/>
  <c r="G9" i="3"/>
  <c r="D9" i="3" l="1"/>
  <c r="E8" i="3"/>
  <c r="M8" i="3" s="1"/>
  <c r="N8" i="3" s="1"/>
  <c r="I20" i="3" s="1"/>
  <c r="K9" i="3"/>
  <c r="P8" i="3" l="1"/>
  <c r="Q8" i="3" s="1"/>
  <c r="I21" i="3" s="1"/>
  <c r="F8" i="3"/>
  <c r="I8" i="3"/>
  <c r="J8" i="3" s="1"/>
  <c r="L5" i="4"/>
  <c r="L6" i="4" l="1"/>
  <c r="L4" i="4"/>
  <c r="I19" i="3"/>
  <c r="M8" i="2"/>
  <c r="N8" i="2" s="1"/>
  <c r="J9" i="2" s="1"/>
  <c r="K9" i="2" s="1"/>
  <c r="L9" i="2" l="1"/>
  <c r="C9" i="3" s="1"/>
  <c r="H9" i="3" l="1"/>
  <c r="L9" i="3" l="1"/>
  <c r="K10" i="3" s="1"/>
  <c r="G10" i="3"/>
  <c r="E9" i="3" l="1"/>
  <c r="F9" i="3" s="1"/>
  <c r="D10" i="3"/>
  <c r="P9" i="3" l="1"/>
  <c r="Q9" i="3" s="1"/>
  <c r="J21" i="3" s="1"/>
  <c r="I9" i="3"/>
  <c r="J9" i="3" s="1"/>
  <c r="J19" i="3" s="1"/>
  <c r="M9" i="3"/>
  <c r="N9" i="3" s="1"/>
  <c r="J20" i="3" s="1"/>
  <c r="M6" i="4" l="1"/>
  <c r="M4" i="4"/>
  <c r="M5" i="4"/>
  <c r="M9" i="2"/>
  <c r="N9" i="2" s="1"/>
  <c r="J10" i="2" s="1"/>
  <c r="K10" i="2" s="1"/>
  <c r="L10" i="2" l="1"/>
  <c r="C10" i="3" s="1"/>
  <c r="H10" i="3" l="1"/>
  <c r="G11" i="3" s="1"/>
  <c r="D11" i="3" l="1"/>
  <c r="L10" i="3"/>
  <c r="K11" i="3" l="1"/>
  <c r="E10" i="3"/>
  <c r="F10" i="3" l="1"/>
  <c r="I10" i="3"/>
  <c r="J10" i="3" s="1"/>
  <c r="P10" i="3"/>
  <c r="Q10" i="3" s="1"/>
  <c r="M10" i="3"/>
  <c r="N10" i="3" s="1"/>
  <c r="M10" i="2" l="1"/>
  <c r="N10" i="2" s="1"/>
  <c r="K19" i="3"/>
  <c r="N4" i="4"/>
  <c r="K20" i="3"/>
  <c r="N5" i="4"/>
  <c r="K21" i="3"/>
  <c r="N6" i="4"/>
  <c r="J11" i="2" l="1"/>
  <c r="K11" i="2" s="1"/>
  <c r="L11" i="2" l="1"/>
  <c r="C11" i="3" s="1"/>
  <c r="H11" i="3" s="1"/>
  <c r="G12" i="3" s="1"/>
  <c r="D12" i="3" l="1"/>
  <c r="L11" i="3"/>
  <c r="C14" i="3"/>
  <c r="K12" i="3" l="1"/>
  <c r="E11" i="3"/>
  <c r="P11" i="3" s="1"/>
  <c r="Q11" i="3" s="1"/>
  <c r="R6" i="4"/>
  <c r="L21" i="3" l="1"/>
  <c r="O6" i="4"/>
  <c r="F11" i="3"/>
  <c r="I11" i="3"/>
  <c r="J11" i="3" s="1"/>
  <c r="M11" i="3"/>
  <c r="N11" i="3" s="1"/>
  <c r="R5" i="4"/>
  <c r="N14" i="2"/>
  <c r="R4" i="4"/>
  <c r="M11" i="2" l="1"/>
  <c r="N11" i="2" s="1"/>
  <c r="L19" i="3"/>
  <c r="O4" i="4"/>
  <c r="L20" i="3"/>
  <c r="O5" i="4"/>
  <c r="J12" i="2" l="1"/>
  <c r="K12" i="2" s="1"/>
  <c r="L12" i="2" l="1"/>
  <c r="C12" i="3" l="1"/>
  <c r="H12" i="3" l="1"/>
  <c r="G13" i="3" s="1"/>
  <c r="D13" i="3" s="1"/>
  <c r="L12" i="3" l="1"/>
  <c r="E12" i="3" s="1"/>
  <c r="P12" i="3" l="1"/>
  <c r="Q12" i="3" s="1"/>
  <c r="M21" i="3" s="1"/>
  <c r="F12" i="3"/>
  <c r="I12" i="3"/>
  <c r="J12" i="3" s="1"/>
  <c r="M12" i="3"/>
  <c r="N12" i="3" s="1"/>
  <c r="K13" i="3"/>
  <c r="P6" i="4" l="1"/>
  <c r="M20" i="3"/>
  <c r="P5" i="4"/>
  <c r="M19" i="3"/>
  <c r="M12" i="2"/>
  <c r="N12" i="2" s="1"/>
  <c r="P4" i="4"/>
  <c r="J13" i="2" l="1"/>
  <c r="K13" i="2" s="1"/>
  <c r="L13" i="2" l="1"/>
  <c r="C13" i="3" l="1"/>
  <c r="H13" i="3" l="1"/>
  <c r="L13" i="3" s="1"/>
  <c r="E13" i="3" l="1"/>
  <c r="F13" i="3" l="1"/>
  <c r="I13" i="3"/>
  <c r="J13" i="3" s="1"/>
  <c r="M13" i="3"/>
  <c r="N13" i="3" s="1"/>
  <c r="P13" i="3"/>
  <c r="Q13" i="3" s="1"/>
  <c r="M13" i="2" l="1"/>
  <c r="N13" i="2" s="1"/>
  <c r="N19" i="3"/>
  <c r="Q4" i="4"/>
  <c r="G4" i="4" s="1"/>
  <c r="C4" i="4"/>
  <c r="N20" i="3"/>
  <c r="Q5" i="4"/>
  <c r="G5" i="4" s="1"/>
  <c r="C5" i="4"/>
  <c r="N21" i="3"/>
  <c r="Q6" i="4"/>
  <c r="G6" i="4" s="1"/>
  <c r="C6" i="4"/>
  <c r="E4" i="4" l="1"/>
  <c r="D4" i="4"/>
  <c r="F4" i="4" s="1"/>
  <c r="P21" i="3"/>
  <c r="AK1" i="8" s="1"/>
  <c r="T21" i="3"/>
  <c r="AM1" i="8" s="1"/>
  <c r="D5" i="4"/>
  <c r="F5" i="4" s="1"/>
  <c r="E5" i="4"/>
  <c r="P20" i="3"/>
  <c r="AG1" i="8" s="1"/>
  <c r="T20" i="3"/>
  <c r="AI1" i="8" s="1"/>
  <c r="E6" i="4"/>
  <c r="D6" i="4"/>
  <c r="F6" i="4" s="1"/>
  <c r="T19" i="3"/>
  <c r="AE1" i="8" s="1"/>
  <c r="P19" i="3"/>
  <c r="AC1" i="8" s="1"/>
  <c r="Q19" i="3" l="1"/>
  <c r="S19" i="3"/>
  <c r="AD1" i="8" s="1"/>
  <c r="S20" i="3"/>
  <c r="AH1" i="8" s="1"/>
  <c r="Q20" i="3"/>
  <c r="S21" i="3"/>
  <c r="AL1" i="8" s="1"/>
  <c r="Q21" i="3"/>
  <c r="R21" i="3" l="1"/>
  <c r="AN1" i="8"/>
  <c r="R20" i="3"/>
  <c r="AJ1" i="8"/>
  <c r="R19" i="3"/>
  <c r="AF1" i="8"/>
</calcChain>
</file>

<file path=xl/sharedStrings.xml><?xml version="1.0" encoding="utf-8"?>
<sst xmlns="http://schemas.openxmlformats.org/spreadsheetml/2006/main" count="459" uniqueCount="384">
  <si>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</si>
  <si>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</si>
  <si>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</si>
  <si>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</si>
  <si>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</si>
  <si>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</si>
  <si>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</si>
  <si>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</si>
  <si>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</si>
  <si>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</si>
  <si>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</si>
  <si>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</si>
  <si>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</si>
  <si>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</si>
  <si>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</si>
  <si>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</si>
  <si>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</si>
  <si>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</si>
  <si>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</si>
  <si>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</si>
  <si>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</si>
  <si>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</si>
  <si>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</si>
  <si>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</si>
  <si>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</si>
  <si>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</si>
  <si>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</si>
  <si>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</si>
  <si>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</si>
  <si>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</si>
  <si>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</si>
  <si>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</si>
  <si>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</si>
  <si>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</si>
  <si>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</si>
  <si>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</si>
  <si>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</si>
  <si>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</si>
  <si>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</si>
  <si>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</si>
  <si>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</si>
  <si>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</si>
  <si>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</si>
  <si>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</si>
  <si>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</si>
  <si>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</si>
  <si>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</si>
  <si>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</si>
  <si>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</si>
  <si>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</si>
  <si>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</si>
  <si>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</si>
  <si>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</si>
  <si>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</si>
  <si>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</si>
  <si>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</si>
  <si>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</si>
  <si>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</si>
  <si>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</si>
  <si>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</si>
  <si>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</si>
  <si>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</si>
  <si>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</si>
  <si>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</si>
  <si>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</si>
  <si>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</si>
  <si>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</si>
  <si>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</si>
  <si>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</si>
  <si>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</si>
  <si>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</si>
  <si>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</si>
  <si>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</si>
  <si>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</si>
  <si>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</si>
  <si>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</si>
  <si>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</si>
  <si>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</si>
  <si>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</si>
  <si>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</si>
  <si>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</si>
  <si>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</si>
  <si>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</si>
  <si>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</si>
  <si>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</si>
  <si>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</si>
  <si>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</si>
  <si>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</si>
  <si>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</si>
  <si>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</si>
  <si>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</si>
  <si>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</si>
  <si>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</si>
  <si>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</si>
  <si>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</si>
  <si>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</si>
  <si>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</si>
  <si>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</si>
  <si>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</si>
  <si>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</si>
  <si>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</si>
  <si>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</si>
  <si>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</si>
  <si>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</si>
  <si>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</si>
  <si>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</si>
  <si>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</si>
  <si>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</si>
  <si>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</si>
  <si>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</si>
  <si>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</si>
  <si>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</si>
  <si>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</si>
  <si>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</si>
  <si>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</si>
  <si>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</si>
  <si>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</si>
  <si>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</si>
  <si>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</si>
  <si>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</si>
  <si>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</si>
  <si>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</si>
  <si>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</si>
  <si>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</si>
  <si>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</si>
  <si>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</si>
  <si>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</si>
  <si>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</si>
  <si>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</si>
  <si>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</si>
  <si>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</si>
  <si>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</si>
  <si>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</si>
  <si>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</si>
  <si>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</si>
  <si>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</si>
  <si>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</si>
  <si>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</si>
  <si>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</si>
  <si>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</si>
  <si>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</si>
  <si>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</si>
  <si>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</si>
  <si>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</si>
  <si>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</si>
  <si>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</si>
  <si>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</si>
  <si>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</si>
  <si>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</si>
  <si>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</si>
  <si>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</si>
  <si>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</si>
  <si>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</si>
  <si>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</si>
  <si>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</si>
  <si>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</si>
  <si>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</si>
  <si>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</si>
  <si>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</si>
  <si>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</si>
  <si>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</si>
  <si>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</si>
  <si>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</si>
  <si>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</si>
  <si>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</si>
  <si>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</si>
  <si>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</si>
  <si>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</si>
  <si>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</si>
  <si>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</si>
  <si>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</si>
  <si>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</si>
  <si>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</si>
  <si>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</si>
  <si>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</si>
  <si>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</si>
  <si>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</si>
  <si>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</si>
  <si>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</si>
  <si>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</si>
  <si>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</si>
  <si>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</si>
  <si>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</si>
  <si>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</si>
  <si>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</si>
  <si>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</si>
  <si>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</si>
  <si>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</si>
  <si>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</si>
  <si>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</si>
  <si>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</si>
  <si>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</si>
  <si>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</si>
  <si>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</si>
  <si>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</si>
  <si>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</si>
  <si>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</si>
  <si>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</si>
  <si>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</si>
  <si>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</si>
  <si>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</si>
  <si>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</si>
  <si>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</si>
  <si>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</si>
  <si>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</si>
  <si>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</si>
  <si>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</si>
  <si>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</si>
  <si>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</si>
  <si>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</si>
  <si>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</si>
  <si>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</si>
  <si>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</si>
  <si>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</si>
  <si>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</si>
  <si>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</si>
  <si>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</si>
  <si>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</si>
  <si>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</si>
  <si>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</si>
  <si>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</si>
  <si>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</si>
  <si>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</si>
  <si>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</si>
  <si>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</si>
  <si>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</si>
  <si>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</si>
  <si>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</si>
  <si>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</si>
  <si>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</si>
  <si>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</si>
  <si>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</si>
  <si>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</si>
  <si>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</si>
  <si>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</si>
  <si>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</si>
  <si>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</si>
  <si>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</si>
  <si>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</si>
  <si>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</si>
  <si>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</si>
  <si>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</si>
  <si>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</si>
  <si>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</si>
  <si>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</si>
  <si>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</si>
  <si>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</si>
  <si>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</si>
  <si>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</si>
  <si>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</si>
  <si>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</si>
  <si>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</si>
  <si>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</si>
  <si>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</si>
  <si>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</si>
  <si>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</si>
  <si>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</si>
  <si>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</si>
  <si>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</si>
  <si>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</si>
  <si>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</si>
  <si>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</si>
  <si>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</si>
  <si>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</si>
  <si>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</si>
  <si>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</si>
  <si>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</si>
  <si>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</si>
  <si>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</si>
  <si>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</si>
  <si>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</si>
  <si>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</si>
  <si>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</si>
  <si>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</si>
  <si>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</si>
  <si>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</si>
  <si>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</si>
  <si>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</si>
  <si>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</si>
  <si>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</si>
  <si>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</si>
  <si>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</si>
  <si>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</si>
  <si>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</si>
  <si>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</si>
  <si>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</si>
  <si>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</si>
  <si>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</si>
  <si>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</si>
  <si>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</si>
  <si>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</si>
  <si>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</si>
  <si>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</si>
  <si>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</si>
  <si>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</si>
  <si>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</si>
  <si>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</si>
  <si>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</si>
  <si>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</si>
  <si>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</si>
  <si>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</si>
  <si>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</si>
  <si>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</si>
  <si>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</si>
  <si>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</si>
  <si>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</si>
  <si>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</si>
  <si>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</si>
  <si>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</si>
  <si>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</si>
  <si>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</si>
  <si>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</si>
  <si>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</si>
  <si>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</si>
  <si>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</si>
  <si>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</si>
  <si>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</si>
  <si>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</si>
  <si>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</si>
  <si>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</si>
  <si>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</si>
  <si>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</si>
  <si>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</si>
  <si>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</si>
  <si>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</si>
  <si>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</si>
  <si>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</si>
  <si>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</si>
  <si>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</si>
  <si>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</si>
  <si>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</si>
  <si>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</si>
  <si>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</si>
  <si>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</si>
  <si>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</si>
  <si>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</si>
  <si>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</si>
  <si>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</si>
  <si>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</si>
  <si>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</si>
  <si>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</si>
  <si>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</si>
  <si>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</si>
  <si>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</si>
  <si>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</si>
  <si>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</si>
  <si>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</si>
  <si>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</si>
  <si>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</si>
  <si>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</si>
  <si>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</si>
  <si>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</si>
  <si>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</si>
  <si>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</si>
  <si>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</si>
  <si>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</si>
  <si>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</si>
  <si>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</si>
  <si>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</si>
  <si>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</si>
  <si>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</si>
  <si>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</si>
  <si>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</si>
  <si>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</si>
  <si>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</si>
  <si>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</si>
  <si>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</si>
  <si>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</si>
  <si>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</si>
  <si>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</si>
  <si>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</si>
  <si>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</si>
  <si>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</si>
  <si>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</si>
  <si>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</si>
  <si>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</si>
  <si>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</si>
  <si>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</si>
  <si>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</si>
  <si>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Participant Return Comparison by Rent Option</t>
  </si>
  <si>
    <t>Rent Option</t>
  </si>
  <si>
    <t>Chart Label</t>
  </si>
  <si>
    <t>Scenario Input</t>
  </si>
  <si>
    <t>Base Co-Living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</si>
</sst>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sz val="16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1" fillId="3" borderId="2" xfId="0" applyNumberFormat="1" applyFont="1" applyFill="1" applyBorder="1" applyAlignment="1">
      <alignment horizontal="center" vertical="center" wrapText="1"/>
    </xf>
    <xf numFmtId="0" fontId="0" fillId="3" borderId="11" xfId="0" applyFill="1" applyBorder="1"/>
    <xf numFmtId="3" fontId="0" fillId="3" borderId="11" xfId="0" applyNumberFormat="1" applyFill="1" applyBorder="1"/>
    <xf numFmtId="164" fontId="0" fillId="3" borderId="11" xfId="0" applyNumberFormat="1" applyFill="1" applyBorder="1"/>
    <xf numFmtId="0" fontId="0" fillId="11" borderId="11" xfId="0" applyFill="1" applyBorder="1"/>
    <xf numFmtId="3" fontId="0" fillId="11" borderId="11" xfId="0" applyNumberFormat="1" applyFill="1" applyBorder="1"/>
    <xf numFmtId="164" fontId="0" fillId="11" borderId="11" xfId="0" applyNumberFormat="1" applyFill="1" applyBorder="1"/>
    <xf numFmtId="0" fontId="0" fillId="12" borderId="11" xfId="0" applyFill="1" applyBorder="1"/>
    <xf numFmtId="3" fontId="0" fillId="12" borderId="11" xfId="0" applyNumberFormat="1" applyFill="1" applyBorder="1"/>
    <xf numFmtId="164" fontId="0" fillId="12" borderId="11" xfId="0" applyNumberFormat="1" applyFill="1" applyBorder="1"/>
    <xf numFmtId="0" fontId="0" fillId="12" borderId="27" xfId="0" applyFill="1" applyBorder="1"/>
    <xf numFmtId="3" fontId="0" fillId="12" borderId="27" xfId="0" applyNumberFormat="1" applyFill="1" applyBorder="1"/>
    <xf numFmtId="164" fontId="0" fillId="12" borderId="27" xfId="0" applyNumberFormat="1" applyFill="1" applyBorder="1"/>
    <xf numFmtId="0" fontId="0" fillId="3" borderId="12" xfId="0" applyFill="1" applyBorder="1"/>
    <xf numFmtId="3" fontId="0" fillId="3" borderId="12" xfId="0" applyNumberFormat="1" applyFill="1" applyBorder="1"/>
    <xf numFmtId="164" fontId="0" fillId="3" borderId="12" xfId="0" applyNumberFormat="1" applyFill="1" applyBorder="1"/>
    <xf numFmtId="3" fontId="10" fillId="14" borderId="30" xfId="0" applyNumberFormat="1" applyFont="1" applyFill="1" applyBorder="1" applyAlignment="1">
      <alignment horizontal="center" wrapText="1"/>
    </xf>
    <xf numFmtId="10" fontId="0" fillId="0" borderId="0" xfId="0" applyNumberFormat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0" fillId="11" borderId="21" xfId="0" applyNumberFormat="1" applyFill="1" applyBorder="1"/>
    <xf numFmtId="0" fontId="0" fillId="11" borderId="25" xfId="0" applyFill="1" applyBorder="1"/>
    <xf numFmtId="3" fontId="0" fillId="12" borderId="21" xfId="0" applyNumberFormat="1" applyFill="1" applyBorder="1"/>
    <xf numFmtId="0" fontId="0" fillId="12" borderId="25" xfId="0" applyFill="1" applyBorder="1"/>
    <xf numFmtId="3" fontId="0" fillId="12" borderId="28" xfId="0" applyNumberFormat="1" applyFill="1" applyBorder="1"/>
    <xf numFmtId="0" fontId="0" fillId="12" borderId="9" xfId="0" applyFill="1" applyBorder="1"/>
    <xf numFmtId="3" fontId="10" fillId="14" borderId="30" xfId="0" applyNumberFormat="1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3" fontId="0" fillId="3" borderId="21" xfId="0" applyNumberFormat="1" applyFill="1" applyBorder="1"/>
    <xf numFmtId="0" fontId="0" fillId="3" borderId="25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26" xfId="0" applyFill="1" applyBorder="1"/>
    <xf numFmtId="0" fontId="0" fillId="3" borderId="21" xfId="0" applyFill="1" applyBorder="1"/>
    <xf numFmtId="0" fontId="0" fillId="3" borderId="0" xfId="0" applyFill="1"/>
    <xf numFmtId="0" fontId="0" fillId="11" borderId="21" xfId="0" applyFill="1" applyBorder="1"/>
    <xf numFmtId="0" fontId="0" fillId="11" borderId="0" xfId="0" applyFill="1"/>
    <xf numFmtId="0" fontId="0" fillId="12" borderId="21" xfId="0" applyFill="1" applyBorder="1"/>
    <xf numFmtId="0" fontId="0" fillId="12" borderId="0" xfId="0" applyFill="1"/>
    <xf numFmtId="0" fontId="0" fillId="12" borderId="28" xfId="0" applyFill="1" applyBorder="1"/>
    <xf numFmtId="0" fontId="0" fillId="12" borderId="24" xfId="0" applyFill="1" applyBorder="1"/>
    <xf numFmtId="0" fontId="0" fillId="12" borderId="22" xfId="0" applyFill="1" applyBorder="1"/>
    <xf numFmtId="0" fontId="0" fillId="0" borderId="20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11" borderId="24" xfId="0" applyFill="1" applyBorder="1"/>
    <xf numFmtId="0" fontId="0" fillId="11" borderId="22" xfId="0" applyFill="1" applyBorder="1"/>
    <xf numFmtId="3" fontId="10" fillId="14" borderId="3" xfId="0" applyNumberFormat="1" applyFont="1" applyFill="1" applyBorder="1" applyAlignment="1">
      <alignment horizontal="center" wrapText="1"/>
    </xf>
    <xf numFmtId="0" fontId="0" fillId="3" borderId="24" xfId="0" applyFill="1" applyBorder="1"/>
    <xf numFmtId="0" fontId="0" fillId="3" borderId="22" xfId="0" applyFill="1" applyBorder="1"/>
    <xf numFmtId="0" fontId="12" fillId="13" borderId="6" xfId="0" applyFont="1" applyFill="1" applyBorder="1"/>
    <xf numFmtId="0" fontId="13" fillId="13" borderId="23" xfId="0" applyFont="1" applyFill="1" applyBorder="1"/>
    <xf numFmtId="0" fontId="13" fillId="13" borderId="7" xfId="0" applyFont="1" applyFill="1" applyBorder="1"/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00"/>
            </a:pPr>
            <a:r>
              <a:rPr lang="en-US"/>
              <a:t>Return Metrics by Rent Option and Participant</a:t>
            </a:r>
          </a:p>
        </c:rich>
      </c:tx>
      <c:layout>
        <c:manualLayout>
          <c:xMode val="edge"/>
          <c:yMode val="edge"/>
          <c:x val="0.18519427402862987"/>
          <c:y val="4.88042797741076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92428707147803"/>
          <c:y val="0.21736925212633701"/>
          <c:w val="0.64949751219747842"/>
          <c:h val="0.38010767351942631"/>
        </c:manualLayout>
      </c:layout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Waterfall!$F$34:$F$42</c:f>
              <c:strCache>
                <c:ptCount val="9"/>
                <c:pt idx="0">
                  <c:v>Base Co-Living - Class A</c:v>
                </c:pt>
                <c:pt idx="1">
                  <c:v>Base Co-Living - Class B</c:v>
                </c:pt>
                <c:pt idx="2">
                  <c:v>Base Co-Living - Sponsor</c:v>
                </c:pt>
                <c:pt idx="3">
                  <c:v>One Floor STR + One Floor Co-Living - Class A</c:v>
                </c:pt>
                <c:pt idx="4">
                  <c:v>One Floor STR + One Floor Co-Living - Class B</c:v>
                </c:pt>
                <c:pt idx="5">
                  <c:v>One Floor STR + One Floor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Waterfall!$F$34:$F$42</c:f>
              <c:strCache>
                <c:ptCount val="9"/>
                <c:pt idx="0">
                  <c:v>Base Co-Living - Class A</c:v>
                </c:pt>
                <c:pt idx="1">
                  <c:v>Base Co-Living - Class B</c:v>
                </c:pt>
                <c:pt idx="2">
                  <c:v>Base Co-Living - Sponsor</c:v>
                </c:pt>
                <c:pt idx="3">
                  <c:v>One Floor STR + One Floor Co-Living - Class A</c:v>
                </c:pt>
                <c:pt idx="4">
                  <c:v>One Floor STR + One Floor Co-Living - Class B</c:v>
                </c:pt>
                <c:pt idx="5">
                  <c:v>One Floor STR + One Floor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Waterfall!$F$34:$F$42</c:f>
              <c:strCache>
                <c:ptCount val="9"/>
                <c:pt idx="0">
                  <c:v>Base Co-Living - Class A</c:v>
                </c:pt>
                <c:pt idx="1">
                  <c:v>Base Co-Living - Class B</c:v>
                </c:pt>
                <c:pt idx="2">
                  <c:v>Base Co-Living - Sponsor</c:v>
                </c:pt>
                <c:pt idx="3">
                  <c:v>One Floor STR + One Floor Co-Living - Class A</c:v>
                </c:pt>
                <c:pt idx="4">
                  <c:v>One Floor STR + One Floor Co-Living - Class B</c:v>
                </c:pt>
                <c:pt idx="5">
                  <c:v>One Floor STR + One Floor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Waterfall!$M$34:$M$42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400" b="1">
                <a:solidFill>
                  <a:srgbClr val="000000"/>
                </a:solidFill>
              </a:defRPr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S$3" lockText="1" noThreeD="1"/>
</file>

<file path=xl/ctrlProps/ctrlProp8.xml><?xml version="1.0" encoding="utf-8"?>
<formControlPr xmlns="http://schemas.microsoft.com/office/spreadsheetml/2009/9/main" objectType="Radio" firstButton="1" fmlaLink="Waterfall!$T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608137</xdr:colOff>
      <xdr:row>30</xdr:row>
      <xdr:rowOff>80200</xdr:rowOff>
    </xdr:from>
    <xdr:to>
      <xdr:col>23</xdr:col>
      <xdr:colOff>929892</xdr:colOff>
      <xdr:row>41</xdr:row>
      <xdr:rowOff>197282</xdr:rowOff>
    </xdr:to>
    <xdr:sp macro="" textlink="">
      <xdr:nvSpPr>
        <xdr:cNvPr id="5" name="ScenarioBand_WholeBuildingSTR">
          <a:extLst>
            <a:ext uri="{FF2B5EF4-FFF2-40B4-BE49-F238E27FC236}">
              <a16:creationId xmlns:a16="http://schemas.microsoft.com/office/drawing/2014/main" id="{2142E483-1DD9-1E33-D5E9-E07DA38637BC}"/>
            </a:ext>
          </a:extLst>
        </xdr:cNvPr>
        <xdr:cNvSpPr/>
      </xdr:nvSpPr>
      <xdr:spPr>
        <a:xfrm>
          <a:off x="14324137" y="6328600"/>
          <a:ext cx="1655255" cy="2422132"/>
        </a:xfrm>
        <a:prstGeom prst="rect">
          <a:avLst/>
        </a:prstGeom>
        <a:solidFill>
          <a:srgbClr val="F2CEEF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133979</xdr:colOff>
      <xdr:row>30</xdr:row>
      <xdr:rowOff>80200</xdr:rowOff>
    </xdr:from>
    <xdr:to>
      <xdr:col>22</xdr:col>
      <xdr:colOff>570035</xdr:colOff>
      <xdr:row>41</xdr:row>
      <xdr:rowOff>197282</xdr:rowOff>
    </xdr:to>
    <xdr:sp macro="" textlink="">
      <xdr:nvSpPr>
        <xdr:cNvPr id="4" name="ScenarioBand_OneFloorSTR">
          <a:extLst>
            <a:ext uri="{FF2B5EF4-FFF2-40B4-BE49-F238E27FC236}">
              <a16:creationId xmlns:a16="http://schemas.microsoft.com/office/drawing/2014/main" id="{488F9006-A5A8-BF0C-2DC1-3EE6792C3AAA}"/>
            </a:ext>
          </a:extLst>
        </xdr:cNvPr>
        <xdr:cNvSpPr/>
      </xdr:nvSpPr>
      <xdr:spPr>
        <a:xfrm>
          <a:off x="12630779" y="6328600"/>
          <a:ext cx="1655256" cy="2422132"/>
        </a:xfrm>
        <a:prstGeom prst="rect">
          <a:avLst/>
        </a:prstGeom>
        <a:solidFill>
          <a:srgbClr val="F7C7AC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136074</xdr:colOff>
      <xdr:row>30</xdr:row>
      <xdr:rowOff>80200</xdr:rowOff>
    </xdr:from>
    <xdr:to>
      <xdr:col>20</xdr:col>
      <xdr:colOff>95879</xdr:colOff>
      <xdr:row>41</xdr:row>
      <xdr:rowOff>197282</xdr:rowOff>
    </xdr:to>
    <xdr:sp macro="" textlink="">
      <xdr:nvSpPr>
        <xdr:cNvPr id="2" name="ScenarioBand_Base">
          <a:extLst>
            <a:ext uri="{FF2B5EF4-FFF2-40B4-BE49-F238E27FC236}">
              <a16:creationId xmlns:a16="http://schemas.microsoft.com/office/drawing/2014/main" id="{6C18E71E-2E79-535D-540D-F601AB97DB63}"/>
            </a:ext>
          </a:extLst>
        </xdr:cNvPr>
        <xdr:cNvSpPr/>
      </xdr:nvSpPr>
      <xdr:spPr>
        <a:xfrm>
          <a:off x="10937424" y="6328600"/>
          <a:ext cx="1655255" cy="2422132"/>
        </a:xfrm>
        <a:prstGeom prst="rect">
          <a:avLst/>
        </a:prstGeom>
        <a:solidFill>
          <a:srgbClr val="FFFF00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3</xdr:row>
          <xdr:rowOff>152400</xdr:rowOff>
        </xdr:from>
        <xdr:to>
          <xdr:col>20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3</xdr:row>
          <xdr:rowOff>190500</xdr:rowOff>
        </xdr:from>
        <xdr:to>
          <xdr:col>19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4</xdr:row>
          <xdr:rowOff>190500</xdr:rowOff>
        </xdr:from>
        <xdr:to>
          <xdr:col>19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5</xdr:row>
          <xdr:rowOff>190500</xdr:rowOff>
        </xdr:from>
        <xdr:to>
          <xdr:col>19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6</xdr:row>
          <xdr:rowOff>180975</xdr:rowOff>
        </xdr:from>
        <xdr:to>
          <xdr:col>19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7</xdr:row>
          <xdr:rowOff>180975</xdr:rowOff>
        </xdr:from>
        <xdr:to>
          <xdr:col>19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8</xdr:row>
          <xdr:rowOff>180975</xdr:rowOff>
        </xdr:from>
        <xdr:to>
          <xdr:col>19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9</xdr:row>
          <xdr:rowOff>180975</xdr:rowOff>
        </xdr:from>
        <xdr:to>
          <xdr:col>19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10</xdr:row>
          <xdr:rowOff>180975</xdr:rowOff>
        </xdr:from>
        <xdr:to>
          <xdr:col>19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11</xdr:row>
          <xdr:rowOff>180975</xdr:rowOff>
        </xdr:from>
        <xdr:to>
          <xdr:col>19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12</xdr:row>
          <xdr:rowOff>180975</xdr:rowOff>
        </xdr:from>
        <xdr:to>
          <xdr:col>19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152400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24</xdr:row>
          <xdr:rowOff>180975</xdr:rowOff>
        </xdr:from>
        <xdr:to>
          <xdr:col>1</xdr:col>
          <xdr:colOff>590550</xdr:colOff>
          <xdr:row>26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25</xdr:row>
          <xdr:rowOff>180975</xdr:rowOff>
        </xdr:from>
        <xdr:to>
          <xdr:col>1</xdr:col>
          <xdr:colOff>590550</xdr:colOff>
          <xdr:row>27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26</xdr:row>
          <xdr:rowOff>180975</xdr:rowOff>
        </xdr:from>
        <xdr:to>
          <xdr:col>1</xdr:col>
          <xdr:colOff>590550</xdr:colOff>
          <xdr:row>28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295275</xdr:colOff>
      <xdr:row>23</xdr:row>
      <xdr:rowOff>19048</xdr:rowOff>
    </xdr:from>
    <xdr:to>
      <xdr:col>24</xdr:col>
      <xdr:colOff>571500</xdr:colOff>
      <xdr:row>55</xdr:row>
      <xdr:rowOff>161925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B3:Q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B18:T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D19-C19</calculatedColumnFormula>
    </tableColumn>
    <tableColumn id="5" xr3:uid="{10FF1ED7-A502-4F2E-A54A-B0007AA7263A}" name="Year 1" dataDxfId="15">
      <calculatedColumnFormula>IFERROR(D19/C19,0)</calculatedColumnFormula>
    </tableColumn>
    <tableColumn id="6" xr3:uid="{ECDBC3DC-2987-4B43-8FA8-210E2BD2C527}" name="Year 2" dataDxfId="14">
      <calculatedColumnFormula>IFERROR(E19/C19,0)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AN34"/>
  <sheetViews>
    <sheetView topLeftCell="A6" workbookViewId="0">
      <selection activeCell="B8" sqref="B8:D8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  <col min="27" max="40" width="0" hidden="1" customWidth="1"/>
  </cols>
  <sheetData>
    <row r="1" spans="1:40" ht="21" x14ac:dyDescent="0.35">
      <c r="A1" s="100" t="s">
        <v>329</v>
      </c>
      <c r="B1" s="97"/>
      <c r="C1" s="97"/>
      <c r="D1" s="97"/>
      <c r="AA1" t="s">
        <v>382</v>
      </c>
      <c r="AB1" t="str">
        <f>INDEX($B$7:$B$9,$H$4)</f>
        <v>Whole Building STR</v>
      </c>
      <c r="AC1" s="2">
        <f>Waterfall!$P$19</f>
        <v>278057.43248614768</v>
      </c>
      <c r="AD1" s="95">
        <f>Waterfall!$S$19</f>
        <v>0.92685810828715898</v>
      </c>
      <c r="AE1" s="95">
        <f>Waterfall!$T$19</f>
        <v>0.18919673669698978</v>
      </c>
      <c r="AF1" s="2">
        <f>Waterfall!$Q$19</f>
        <v>578057.43248614762</v>
      </c>
      <c r="AG1" s="2">
        <f>Waterfall!$P$20</f>
        <v>338354.90441211156</v>
      </c>
      <c r="AH1" s="95">
        <f>Waterfall!$S$20</f>
        <v>0.61799982541024945</v>
      </c>
      <c r="AI1" s="95">
        <f>Waterfall!$T$20</f>
        <v>0.12146973485163892</v>
      </c>
      <c r="AJ1" s="2">
        <f>Waterfall!$Q$20</f>
        <v>885854.9044121115</v>
      </c>
      <c r="AK1" s="2">
        <f>Waterfall!$P$21</f>
        <v>487471.85203518625</v>
      </c>
      <c r="AL1" s="95">
        <f>Waterfall!$S$21</f>
        <v>3.5769087269519035</v>
      </c>
      <c r="AM1" s="95">
        <f>Waterfall!$T$21</f>
        <v>0.7056305810885255</v>
      </c>
      <c r="AN1" s="2">
        <f>Waterfall!$Q$21</f>
        <v>623754.85203518625</v>
      </c>
    </row>
    <row r="2" spans="1:40" ht="15.75" thickBot="1" x14ac:dyDescent="0.3">
      <c r="B2" s="97" t="s">
        <v>333</v>
      </c>
      <c r="C2" s="97"/>
      <c r="D2" s="97"/>
      <c r="AA2">
        <v>1</v>
      </c>
      <c r="AB2" t="str">
        <f t="dataTable" ref="AB2:AN4" dt2D="0" dtr="0" r1="H4"/>
        <v>Base Co-Living</v>
      </c>
      <c r="AC2">
        <v>219799.48570431559</v>
      </c>
      <c r="AD2">
        <v>0.73266495234771867</v>
      </c>
      <c r="AE2">
        <v>0.1634264838474333</v>
      </c>
      <c r="AF2">
        <v>519799.48570431559</v>
      </c>
      <c r="AG2">
        <v>234783.08283288495</v>
      </c>
      <c r="AH2">
        <v>0.42882754855321453</v>
      </c>
      <c r="AI2">
        <v>8.9826902125470953E-2</v>
      </c>
      <c r="AJ2">
        <v>782283.08283288497</v>
      </c>
      <c r="AK2">
        <v>327148.34739884926</v>
      </c>
      <c r="AL2">
        <v>2.4005073809561668</v>
      </c>
      <c r="AM2">
        <v>0.58541819876459078</v>
      </c>
      <c r="AN2">
        <v>463431.34739884926</v>
      </c>
    </row>
    <row r="3" spans="1:40" ht="15.75" thickBot="1" x14ac:dyDescent="0.3">
      <c r="A3" s="5" t="s">
        <v>330</v>
      </c>
      <c r="H3" s="71" t="s">
        <v>372</v>
      </c>
      <c r="AA3">
        <v>2</v>
      </c>
      <c r="AB3" t="str">
        <v>One Floor STR + One Floor Co-Living</v>
      </c>
      <c r="AC3">
        <v>264666.01012491627</v>
      </c>
      <c r="AD3">
        <v>0.88222003374972091</v>
      </c>
      <c r="AE3">
        <v>0.18498025525507211</v>
      </c>
      <c r="AF3">
        <v>564666.01012491621</v>
      </c>
      <c r="AG3">
        <v>316186.60410725744</v>
      </c>
      <c r="AH3">
        <v>0.57750977919133784</v>
      </c>
      <c r="AI3">
        <v>0.11563386411139498</v>
      </c>
      <c r="AJ3">
        <v>863686.60410725744</v>
      </c>
      <c r="AK3">
        <v>453156.53786465875</v>
      </c>
      <c r="AL3">
        <v>3.3251141952015932</v>
      </c>
      <c r="AM3">
        <v>0.68267085359075441</v>
      </c>
      <c r="AN3">
        <v>589439.53786465875</v>
      </c>
    </row>
    <row r="4" spans="1:40" ht="15.75" thickBot="1" x14ac:dyDescent="0.3">
      <c r="A4" t="s">
        <v>331</v>
      </c>
      <c r="D4" s="113" t="str">
        <f>IF(OR($H$4&lt;1,$H$4&gt;3),"",INDEX($B$7:$B$9,$H$4))</f>
        <v>Whole Building STR</v>
      </c>
      <c r="E4" s="114"/>
      <c r="F4" s="115"/>
      <c r="H4" s="71">
        <v>3</v>
      </c>
      <c r="AA4">
        <v>3</v>
      </c>
      <c r="AB4" t="str">
        <v>Whole Building STR</v>
      </c>
      <c r="AC4">
        <v>278057.43248614768</v>
      </c>
      <c r="AD4">
        <v>0.92685810828715898</v>
      </c>
      <c r="AE4">
        <v>0.18919673669698978</v>
      </c>
      <c r="AF4">
        <v>578057.43248614762</v>
      </c>
      <c r="AG4">
        <v>338354.90441211156</v>
      </c>
      <c r="AH4">
        <v>0.61799982541024945</v>
      </c>
      <c r="AI4">
        <v>0.12146973485163892</v>
      </c>
      <c r="AJ4">
        <v>885854.9044121115</v>
      </c>
      <c r="AK4">
        <v>487471.85203518625</v>
      </c>
      <c r="AL4">
        <v>3.5769087269519035</v>
      </c>
      <c r="AM4">
        <v>0.7056305810885255</v>
      </c>
      <c r="AN4">
        <v>623754.85203518625</v>
      </c>
    </row>
    <row r="5" spans="1:40" ht="15.75" thickBot="1" x14ac:dyDescent="0.3"/>
    <row r="6" spans="1:40" ht="15.75" thickBot="1" x14ac:dyDescent="0.3">
      <c r="A6" s="12" t="s">
        <v>373</v>
      </c>
      <c r="B6" s="101" t="s">
        <v>374</v>
      </c>
      <c r="C6" s="102"/>
      <c r="D6" s="103"/>
      <c r="E6" s="101" t="s">
        <v>375</v>
      </c>
      <c r="F6" s="102"/>
      <c r="G6" s="102"/>
      <c r="H6" s="102"/>
      <c r="I6" s="102"/>
      <c r="J6" s="103"/>
    </row>
    <row r="7" spans="1:40" ht="15.75" thickBot="1" x14ac:dyDescent="0.3">
      <c r="B7" s="104" t="s">
        <v>383</v>
      </c>
      <c r="C7" s="105"/>
      <c r="D7" s="106"/>
      <c r="E7" s="104" t="s">
        <v>336</v>
      </c>
      <c r="F7" s="105"/>
      <c r="G7" s="105"/>
      <c r="H7" s="105"/>
      <c r="I7" s="105"/>
      <c r="J7" s="106"/>
    </row>
    <row r="8" spans="1:40" ht="15.75" thickBot="1" x14ac:dyDescent="0.3">
      <c r="B8" s="107" t="s">
        <v>334</v>
      </c>
      <c r="C8" s="108"/>
      <c r="D8" s="109"/>
      <c r="E8" s="107" t="s">
        <v>376</v>
      </c>
      <c r="F8" s="108"/>
      <c r="G8" s="108"/>
      <c r="H8" s="108"/>
      <c r="I8" s="108"/>
      <c r="J8" s="109"/>
    </row>
    <row r="9" spans="1:40" ht="15.75" thickBot="1" x14ac:dyDescent="0.3">
      <c r="B9" s="110" t="s">
        <v>335</v>
      </c>
      <c r="C9" s="111"/>
      <c r="D9" s="112"/>
      <c r="E9" s="110" t="s">
        <v>377</v>
      </c>
      <c r="F9" s="111"/>
      <c r="G9" s="111"/>
      <c r="H9" s="111"/>
      <c r="I9" s="111"/>
      <c r="J9" s="112"/>
    </row>
    <row r="12" spans="1:40" x14ac:dyDescent="0.25">
      <c r="A12" s="96" t="s">
        <v>337</v>
      </c>
      <c r="B12" s="96"/>
      <c r="C12" s="96"/>
    </row>
    <row r="13" spans="1:4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40" x14ac:dyDescent="0.25">
      <c r="A14" s="98" t="s">
        <v>342</v>
      </c>
      <c r="B14" s="98"/>
      <c r="C14" s="98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40" x14ac:dyDescent="0.25">
      <c r="A15" s="98" t="s">
        <v>344</v>
      </c>
      <c r="B15" s="98"/>
      <c r="C15" s="98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40" x14ac:dyDescent="0.25">
      <c r="A16" s="99" t="s">
        <v>346</v>
      </c>
      <c r="B16" s="99"/>
      <c r="C16" s="99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99" t="s">
        <v>348</v>
      </c>
      <c r="B17" s="99"/>
      <c r="C17" s="99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97" t="s">
        <v>349</v>
      </c>
      <c r="B18" s="97"/>
      <c r="C18" s="97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97" t="s">
        <v>351</v>
      </c>
      <c r="B19" s="97"/>
      <c r="C19" s="97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6" t="s">
        <v>353</v>
      </c>
      <c r="B23" s="96"/>
      <c r="C23" s="96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18" t="s">
        <v>281</v>
      </c>
      <c r="E7" s="118"/>
      <c r="F7" s="118"/>
      <c r="G7" s="118"/>
      <c r="H7" s="118"/>
      <c r="I7" s="118"/>
      <c r="J7" s="118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16" t="s">
        <v>53</v>
      </c>
      <c r="C48" s="117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19" t="s">
        <v>54</v>
      </c>
      <c r="B1" s="97"/>
      <c r="C1" s="9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45"/>
  <sheetViews>
    <sheetView tabSelected="1" topLeftCell="A19" workbookViewId="0">
      <selection activeCell="Z35" sqref="Z35"/>
    </sheetView>
  </sheetViews>
  <sheetFormatPr defaultRowHeight="15" x14ac:dyDescent="0.25"/>
  <cols>
    <col min="1" max="1" width="9.140625" style="6"/>
    <col min="2" max="2" width="13.140625" style="6" customWidth="1"/>
    <col min="3" max="3" width="12.28515625" style="6" customWidth="1"/>
    <col min="4" max="4" width="8.85546875" style="6" bestFit="1" customWidth="1"/>
    <col min="5" max="5" width="13.140625" style="6" customWidth="1"/>
    <col min="6" max="6" width="9.140625" style="6" customWidth="1"/>
    <col min="7" max="7" width="7.5703125" style="6" bestFit="1" customWidth="1"/>
    <col min="8" max="8" width="9.140625" style="6" customWidth="1"/>
    <col min="9" max="9" width="9.42578125" style="6" customWidth="1"/>
    <col min="10" max="10" width="8.85546875" style="6" customWidth="1"/>
    <col min="11" max="11" width="7.5703125" style="6" bestFit="1" customWidth="1"/>
    <col min="12" max="12" width="9.28515625" style="6" bestFit="1" customWidth="1"/>
    <col min="13" max="13" width="8.5703125" style="6" bestFit="1" customWidth="1"/>
    <col min="14" max="14" width="7.5703125" style="6" bestFit="1" customWidth="1"/>
    <col min="15" max="15" width="8.85546875" style="6" bestFit="1" customWidth="1"/>
    <col min="16" max="16" width="9.5703125" style="6" customWidth="1"/>
    <col min="17" max="17" width="10.28515625" style="6" customWidth="1"/>
    <col min="18" max="18" width="8.7109375" style="6" customWidth="1"/>
    <col min="19" max="20" width="12.7109375" style="6" customWidth="1"/>
    <col min="21" max="22" width="9.140625" style="6"/>
    <col min="23" max="32" width="20" style="6" customWidth="1"/>
    <col min="33" max="16384" width="9.140625" style="6"/>
  </cols>
  <sheetData>
    <row r="1" spans="2:32" ht="15.75" thickBot="1" x14ac:dyDescent="0.3">
      <c r="C1"/>
      <c r="D1"/>
      <c r="E1" s="13"/>
      <c r="F1" s="13"/>
      <c r="G1" s="13"/>
      <c r="H1" s="13"/>
      <c r="I1" s="13"/>
      <c r="J1" s="13"/>
      <c r="K1" s="13"/>
      <c r="S1" s="13"/>
      <c r="T1" s="13"/>
    </row>
    <row r="2" spans="2:32" ht="19.5" thickBot="1" x14ac:dyDescent="0.35">
      <c r="B2" s="162" t="s">
        <v>68</v>
      </c>
      <c r="C2" s="163"/>
      <c r="D2" s="161" t="s">
        <v>267</v>
      </c>
      <c r="E2" s="159"/>
      <c r="F2" s="159"/>
      <c r="G2" s="159"/>
      <c r="H2" s="159"/>
      <c r="I2" s="159"/>
      <c r="J2" s="159"/>
      <c r="K2" s="158" t="s">
        <v>89</v>
      </c>
      <c r="L2" s="159"/>
      <c r="M2" s="159"/>
      <c r="N2" s="159"/>
      <c r="O2" s="160" t="s">
        <v>90</v>
      </c>
      <c r="P2" s="159"/>
      <c r="Q2" s="159"/>
      <c r="S2" s="12" t="s">
        <v>317</v>
      </c>
      <c r="T2" s="12" t="s">
        <v>318</v>
      </c>
    </row>
    <row r="3" spans="2:32" s="23" customFormat="1" ht="15.75" customHeight="1" thickBot="1" x14ac:dyDescent="0.3">
      <c r="B3" s="27" t="s">
        <v>55</v>
      </c>
      <c r="C3" s="27" t="s">
        <v>69</v>
      </c>
      <c r="D3" s="28" t="s">
        <v>301</v>
      </c>
      <c r="E3" s="28" t="s">
        <v>300</v>
      </c>
      <c r="F3" s="28" t="s">
        <v>302</v>
      </c>
      <c r="G3" s="28" t="s">
        <v>328</v>
      </c>
      <c r="H3" s="28" t="s">
        <v>327</v>
      </c>
      <c r="I3" s="28" t="s">
        <v>324</v>
      </c>
      <c r="J3" s="28" t="s">
        <v>325</v>
      </c>
      <c r="K3" s="27" t="s">
        <v>321</v>
      </c>
      <c r="L3" s="27" t="s">
        <v>322</v>
      </c>
      <c r="M3" s="27" t="s">
        <v>323</v>
      </c>
      <c r="N3" s="27" t="s">
        <v>326</v>
      </c>
      <c r="O3" s="29" t="s">
        <v>274</v>
      </c>
      <c r="P3" s="29" t="s">
        <v>275</v>
      </c>
      <c r="Q3" s="29" t="s">
        <v>308</v>
      </c>
      <c r="S3" s="78">
        <v>3</v>
      </c>
      <c r="T3" s="78">
        <v>5</v>
      </c>
    </row>
    <row r="4" spans="2:32" ht="15.75" customHeight="1" x14ac:dyDescent="0.25">
      <c r="B4" s="13">
        <v>0</v>
      </c>
      <c r="C4" s="13">
        <f>IF(WaterfallTable[[#This Row],[Year]]&gt;SaleExitYear,0,INDEX(AnnualModelTable[Cash Available Before Distributions],MATCH(WaterfallTable[[#This Row],[Year]],AnnualModelTable[Year],0)))</f>
        <v>100000</v>
      </c>
      <c r="D4" s="13">
        <f>IF(WaterfallTable[[#This Row],[Year]]&gt;SaleExitYear,0,WaterfallTable[[#This Row],[Capital Balance A]]*ClassAPreferredReturn)</f>
        <v>24000</v>
      </c>
      <c r="E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G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4" s="13">
        <f>IF(WaterfallTable[[#This Row],[Year]]&gt;SaleExitYear,0,IF(WaterfallTable[[#This Row],[Year]]=0,0,MIN(WaterfallTable[[#This Row],[Cash Available]],WaterfallTable[[#This Row],[Capital Balance A]])))</f>
        <v>0</v>
      </c>
      <c r="I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4" s="13">
        <f>IF(WaterfallTable[[#This Row],[Year]]&gt;SaleExitYear,0,WaterfallTable[[#This Row],[Pref Paid]]+WaterfallTable[[#This Row],[Capital Returned A]]+WaterfallTable[[#This Row],[Residual A]])</f>
        <v>0</v>
      </c>
      <c r="K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4" s="13">
        <f>IF(WaterfallTable[[#This Row],[Year]]&gt;SaleExitYear,0,WaterfallTable[[#This Row],[Capital Returned B]]+WaterfallTable[[#This Row],[ Residual   B]])</f>
        <v>0</v>
      </c>
      <c r="O4" s="13">
        <f>IF(WaterfallTable[[#This Row],[Year]]&gt;SaleExitYear,0,IF(WaterfallTable[[#This Row],[Year]]=0,SponsorPropertyPayment,0))</f>
        <v>100000</v>
      </c>
      <c r="P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4" s="13">
        <f>IF(WaterfallTable[[#This Row],[Year]]&gt;SaleExitYear,0,WaterfallTable[[#This Row],[Property Payment]]+WaterfallTable[[#This Row],[Residual]])</f>
        <v>100000</v>
      </c>
      <c r="S4" s="14"/>
    </row>
    <row r="5" spans="2:32" ht="15.75" customHeight="1" x14ac:dyDescent="0.25">
      <c r="B5" s="13">
        <v>1</v>
      </c>
      <c r="C5" s="13">
        <f>IF(WaterfallTable[[#This Row],[Year]]&gt;SaleExitYear,0,INDEX(AnnualModelTable[Cash Available Before Distributions],MATCH(WaterfallTable[[#This Row],[Year]],AnnualModelTable[Year],0)))</f>
        <v>0</v>
      </c>
      <c r="D5" s="13">
        <f>IF(WaterfallTable[[#This Row],[Year]]&gt;SaleExitYear,0,WaterfallTable[[#This Row],[Capital Balance A]]*ClassAPreferredReturn)</f>
        <v>24000</v>
      </c>
      <c r="E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G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5" s="13">
        <f>IF(WaterfallTable[[#This Row],[Year]]&gt;SaleExitYear,0,IF(WaterfallTable[[#This Row],[Year]]=0,0,MIN(WaterfallTable[[#This Row],[Cash Available]],WaterfallTable[[#This Row],[Capital Balance A]])))</f>
        <v>0</v>
      </c>
      <c r="I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5" s="13">
        <f>IF(WaterfallTable[[#This Row],[Year]]&gt;SaleExitYear,0,WaterfallTable[[#This Row],[Pref Paid]]+WaterfallTable[[#This Row],[Capital Returned A]]+WaterfallTable[[#This Row],[Residual A]])</f>
        <v>0</v>
      </c>
      <c r="K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5" s="13">
        <f>IF(WaterfallTable[[#This Row],[Year]]&gt;SaleExitYear,0,WaterfallTable[[#This Row],[Capital Returned B]]+WaterfallTable[[#This Row],[ Residual   B]])</f>
        <v>0</v>
      </c>
      <c r="O5" s="13">
        <f>IF(WaterfallTable[[#This Row],[Year]]&gt;SaleExitYear,0,IF(WaterfallTable[[#This Row],[Year]]=0,SponsorPropertyPayment,0))</f>
        <v>0</v>
      </c>
      <c r="P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5" s="13">
        <f>IF(WaterfallTable[[#This Row],[Year]]&gt;SaleExitYear,0,WaterfallTable[[#This Row],[Property Payment]]+WaterfallTable[[#This Row],[Residual]])</f>
        <v>0</v>
      </c>
      <c r="S5" s="14"/>
    </row>
    <row r="6" spans="2:32" ht="15.75" customHeight="1" x14ac:dyDescent="0.25">
      <c r="B6" s="13">
        <v>2</v>
      </c>
      <c r="C6" s="13">
        <f>IF(WaterfallTable[[#This Row],[Year]]&gt;SaleExitYear,0,INDEX(AnnualModelTable[Cash Available Before Distributions],MATCH(WaterfallTable[[#This Row],[Year]],AnnualModelTable[Year],0)))</f>
        <v>41781.439211589022</v>
      </c>
      <c r="D6" s="13">
        <f>IF(WaterfallTable[[#This Row],[Year]]&gt;SaleExitYear,0,WaterfallTable[[#This Row],[Capital Balance A]]*ClassAPreferredReturn)</f>
        <v>24000</v>
      </c>
      <c r="E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G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I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6" s="13">
        <f>IF(WaterfallTable[[#This Row],[Year]]&gt;SaleExitYear,0,WaterfallTable[[#This Row],[Pref Paid]]+WaterfallTable[[#This Row],[Capital Returned A]]+WaterfallTable[[#This Row],[Residual A]])</f>
        <v>41781.439211589022</v>
      </c>
      <c r="K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6" s="13">
        <f>IF(WaterfallTable[[#This Row],[Year]]&gt;SaleExitYear,0,WaterfallTable[[#This Row],[Capital Returned B]]+WaterfallTable[[#This Row],[ Residual   B]])</f>
        <v>0</v>
      </c>
      <c r="O6" s="13">
        <f>IF(WaterfallTable[[#This Row],[Year]]&gt;SaleExitYear,0,IF(WaterfallTable[[#This Row],[Year]]=0,SponsorPropertyPayment,0))</f>
        <v>0</v>
      </c>
      <c r="P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6" s="13">
        <f>IF(WaterfallTable[[#This Row],[Year]]&gt;SaleExitYear,0,WaterfallTable[[#This Row],[Property Payment]]+WaterfallTable[[#This Row],[Residual]])</f>
        <v>0</v>
      </c>
      <c r="S6" s="14"/>
    </row>
    <row r="7" spans="2:32" ht="15" customHeight="1" x14ac:dyDescent="0.25">
      <c r="B7" s="13">
        <v>3</v>
      </c>
      <c r="C7" s="13">
        <f>IF(WaterfallTable[[#This Row],[Year]]&gt;SaleExitYear,0,INDEX(AnnualModelTable[Cash Available Before Distributions],MATCH(WaterfallTable[[#This Row],[Year]],AnnualModelTable[Year],0)))</f>
        <v>573104.0075724707</v>
      </c>
      <c r="D7" s="13">
        <f>IF(WaterfallTable[[#This Row],[Year]]&gt;SaleExitYear,0,WaterfallTable[[#This Row],[Capital Balance A]]*ClassAPreferredReturn)</f>
        <v>20657.484863072877</v>
      </c>
      <c r="E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G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H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I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7" s="13">
        <f>IF(WaterfallTable[[#This Row],[Year]]&gt;SaleExitYear,0,WaterfallTable[[#This Row],[Pref Paid]]+WaterfallTable[[#This Row],[Capital Returned A]]+WaterfallTable[[#This Row],[Residual A]])</f>
        <v>258218.56078841098</v>
      </c>
      <c r="K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M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7" s="13">
        <f>IF(WaterfallTable[[#This Row],[Year]]&gt;SaleExitYear,0,WaterfallTable[[#This Row],[Capital Returned B]]+WaterfallTable[[#This Row],[ Residual   B]])</f>
        <v>314885.44678405975</v>
      </c>
      <c r="O7" s="13">
        <f>IF(WaterfallTable[[#This Row],[Year]]&gt;SaleExitYear,0,IF(WaterfallTable[[#This Row],[Year]]=0,SponsorPropertyPayment,0))</f>
        <v>0</v>
      </c>
      <c r="P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7" s="13">
        <f>IF(WaterfallTable[[#This Row],[Year]]&gt;SaleExitYear,0,WaterfallTable[[#This Row],[Property Payment]]+WaterfallTable[[#This Row],[Residual]])</f>
        <v>0</v>
      </c>
      <c r="S7" s="14"/>
      <c r="W7"/>
      <c r="X7"/>
      <c r="Y7"/>
      <c r="Z7"/>
      <c r="AA7"/>
      <c r="AB7"/>
      <c r="AC7"/>
      <c r="AD7"/>
      <c r="AE7"/>
      <c r="AF7"/>
    </row>
    <row r="8" spans="2:32" x14ac:dyDescent="0.25">
      <c r="B8" s="13">
        <v>4</v>
      </c>
      <c r="C8" s="13">
        <f>IF(WaterfallTable[[#This Row],[Year]]&gt;SaleExitYear,0,INDEX(AnnualModelTable[Cash Available Before Distributions],MATCH(WaterfallTable[[#This Row],[Year]],AnnualModelTable[Year],0)))</f>
        <v>34827.567572470594</v>
      </c>
      <c r="D8" s="13">
        <f>IF(WaterfallTable[[#This Row],[Year]]&gt;SaleExitYear,0,WaterfallTable[[#This Row],[Capital Balance A]]*ClassAPreferredReturn)</f>
        <v>0</v>
      </c>
      <c r="E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G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8" s="13">
        <f>IF(WaterfallTable[[#This Row],[Year]]&gt;SaleExitYear,0,IF(WaterfallTable[[#This Row],[Year]]=0,0,MIN(WaterfallTable[[#This Row],[Cash Available]],WaterfallTable[[#This Row],[Capital Balance A]])))</f>
        <v>0</v>
      </c>
      <c r="I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8" s="13">
        <f>IF(WaterfallTable[[#This Row],[Year]]&gt;SaleExitYear,0,WaterfallTable[[#This Row],[Pref Paid]]+WaterfallTable[[#This Row],[Capital Returned A]]+WaterfallTable[[#This Row],[Residual A]])</f>
        <v>0</v>
      </c>
      <c r="K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L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M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8" s="13">
        <f>IF(WaterfallTable[[#This Row],[Year]]&gt;SaleExitYear,0,WaterfallTable[[#This Row],[Capital Returned B]]+WaterfallTable[[#This Row],[ Residual   B]])</f>
        <v>34827.567572470594</v>
      </c>
      <c r="O8" s="13">
        <f>IF(WaterfallTable[[#This Row],[Year]]&gt;SaleExitYear,0,IF(WaterfallTable[[#This Row],[Year]]=0,SponsorPropertyPayment,0))</f>
        <v>0</v>
      </c>
      <c r="P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8" s="13">
        <f>IF(WaterfallTable[[#This Row],[Year]]&gt;SaleExitYear,0,WaterfallTable[[#This Row],[Property Payment]]+WaterfallTable[[#This Row],[Residual]])</f>
        <v>0</v>
      </c>
      <c r="S8" s="14"/>
    </row>
    <row r="9" spans="2:32" x14ac:dyDescent="0.25">
      <c r="B9" s="13">
        <v>5</v>
      </c>
      <c r="C9" s="13">
        <f>IF(WaterfallTable[[#This Row],[Year]]&gt;SaleExitYear,0,INDEX(AnnualModelTable[Cash Available Before Distributions],MATCH(WaterfallTable[[#This Row],[Year]],AnnualModelTable[Year],0)))</f>
        <v>1337954.1745769151</v>
      </c>
      <c r="D9" s="13">
        <f>IF(WaterfallTable[[#This Row],[Year]]&gt;SaleExitYear,0,WaterfallTable[[#This Row],[Capital Balance A]]*ClassAPreferredReturn)</f>
        <v>0</v>
      </c>
      <c r="E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F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9" s="13">
        <f>IF(WaterfallTable[[#This Row],[Year]]&gt;SaleExitYear,0,IF(WaterfallTable[[#This Row],[Year]]=0,0,MIN(WaterfallTable[[#This Row],[Cash Available]],WaterfallTable[[#This Row],[Capital Balance A]])))</f>
        <v>0</v>
      </c>
      <c r="I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J9" s="13">
        <f>IF(WaterfallTable[[#This Row],[Year]]&gt;SaleExitYear,0,WaterfallTable[[#This Row],[Pref Paid]]+WaterfallTable[[#This Row],[Capital Returned A]]+WaterfallTable[[#This Row],[Residual A]])</f>
        <v>278057.43248614768</v>
      </c>
      <c r="K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L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M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N9" s="13">
        <f>IF(WaterfallTable[[#This Row],[Year]]&gt;SaleExitYear,0,WaterfallTable[[#This Row],[Capital Returned B]]+WaterfallTable[[#This Row],[ Residual   B]])</f>
        <v>536141.89005558123</v>
      </c>
      <c r="O9" s="13">
        <f>IF(WaterfallTable[[#This Row],[Year]]&gt;SaleExitYear,0,IF(WaterfallTable[[#This Row],[Year]]=0,SponsorPropertyPayment,0))</f>
        <v>0</v>
      </c>
      <c r="P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Q9" s="13">
        <f>IF(WaterfallTable[[#This Row],[Year]]&gt;SaleExitYear,0,WaterfallTable[[#This Row],[Property Payment]]+WaterfallTable[[#This Row],[Residual]])</f>
        <v>523754.85203518625</v>
      </c>
      <c r="S9" s="14"/>
    </row>
    <row r="10" spans="2:32" x14ac:dyDescent="0.25">
      <c r="B10" s="13">
        <v>6</v>
      </c>
      <c r="C10" s="13">
        <f>IF(WaterfallTable[[#This Row],[Year]]&gt;SaleExitYear,0,INDEX(AnnualModelTable[Cash Available Before Distributions],MATCH(WaterfallTable[[#This Row],[Year]],AnnualModelTable[Year],0)))</f>
        <v>0</v>
      </c>
      <c r="D10" s="13">
        <f>IF(WaterfallTable[[#This Row],[Year]]&gt;SaleExitYear,0,WaterfallTable[[#This Row],[Capital Balance A]]*ClassAPreferredReturn)</f>
        <v>0</v>
      </c>
      <c r="E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0" s="13">
        <f>IF(WaterfallTable[[#This Row],[Year]]&gt;SaleExitYear,0,IF(WaterfallTable[[#This Row],[Year]]=0,0,MIN(WaterfallTable[[#This Row],[Cash Available]],WaterfallTable[[#This Row],[Capital Balance A]])))</f>
        <v>0</v>
      </c>
      <c r="I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0" s="13">
        <f>IF(WaterfallTable[[#This Row],[Year]]&gt;SaleExitYear,0,WaterfallTable[[#This Row],[Pref Paid]]+WaterfallTable[[#This Row],[Capital Returned A]]+WaterfallTable[[#This Row],[Residual A]])</f>
        <v>0</v>
      </c>
      <c r="K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0" s="13">
        <f>IF(WaterfallTable[[#This Row],[Year]]&gt;SaleExitYear,0,WaterfallTable[[#This Row],[Capital Returned B]]+WaterfallTable[[#This Row],[ Residual   B]])</f>
        <v>0</v>
      </c>
      <c r="O10" s="13">
        <f>IF(WaterfallTable[[#This Row],[Year]]&gt;SaleExitYear,0,IF(WaterfallTable[[#This Row],[Year]]=0,SponsorPropertyPayment,0))</f>
        <v>0</v>
      </c>
      <c r="P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0" s="13">
        <f>IF(WaterfallTable[[#This Row],[Year]]&gt;SaleExitYear,0,WaterfallTable[[#This Row],[Property Payment]]+WaterfallTable[[#This Row],[Residual]])</f>
        <v>0</v>
      </c>
      <c r="S10" s="14"/>
    </row>
    <row r="11" spans="2:32" x14ac:dyDescent="0.25">
      <c r="B11" s="13">
        <v>7</v>
      </c>
      <c r="C11" s="13">
        <f>IF(WaterfallTable[[#This Row],[Year]]&gt;SaleExitYear,0,INDEX(AnnualModelTable[Cash Available Before Distributions],MATCH(WaterfallTable[[#This Row],[Year]],AnnualModelTable[Year],0)))</f>
        <v>0</v>
      </c>
      <c r="D11" s="13">
        <f>IF(WaterfallTable[[#This Row],[Year]]&gt;SaleExitYear,0,WaterfallTable[[#This Row],[Capital Balance A]]*ClassAPreferredReturn)</f>
        <v>0</v>
      </c>
      <c r="E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1" s="13">
        <f>IF(WaterfallTable[[#This Row],[Year]]&gt;SaleExitYear,0,IF(WaterfallTable[[#This Row],[Year]]=0,0,MIN(WaterfallTable[[#This Row],[Cash Available]],WaterfallTable[[#This Row],[Capital Balance A]])))</f>
        <v>0</v>
      </c>
      <c r="I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1" s="13">
        <f>IF(WaterfallTable[[#This Row],[Year]]&gt;SaleExitYear,0,WaterfallTable[[#This Row],[Pref Paid]]+WaterfallTable[[#This Row],[Capital Returned A]]+WaterfallTable[[#This Row],[Residual A]])</f>
        <v>0</v>
      </c>
      <c r="K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1" s="13">
        <f>IF(WaterfallTable[[#This Row],[Year]]&gt;SaleExitYear,0,WaterfallTable[[#This Row],[Capital Returned B]]+WaterfallTable[[#This Row],[ Residual   B]])</f>
        <v>0</v>
      </c>
      <c r="O11" s="13">
        <f>IF(WaterfallTable[[#This Row],[Year]]&gt;SaleExitYear,0,IF(WaterfallTable[[#This Row],[Year]]=0,SponsorPropertyPayment,0))</f>
        <v>0</v>
      </c>
      <c r="P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1" s="13">
        <f>IF(WaterfallTable[[#This Row],[Year]]&gt;SaleExitYear,0,WaterfallTable[[#This Row],[Property Payment]]+WaterfallTable[[#This Row],[Residual]])</f>
        <v>0</v>
      </c>
      <c r="S11" s="14"/>
    </row>
    <row r="12" spans="2:32" x14ac:dyDescent="0.25">
      <c r="B12" s="13">
        <v>8</v>
      </c>
      <c r="C12" s="13">
        <f>IF(WaterfallTable[[#This Row],[Year]]&gt;SaleExitYear,0,INDEX(AnnualModelTable[Cash Available Before Distributions],MATCH(WaterfallTable[[#This Row],[Year]],AnnualModelTable[Year],0)))</f>
        <v>0</v>
      </c>
      <c r="D12" s="13">
        <f>IF(WaterfallTable[[#This Row],[Year]]&gt;SaleExitYear,0,WaterfallTable[[#This Row],[Capital Balance A]]*ClassAPreferredReturn)</f>
        <v>0</v>
      </c>
      <c r="E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2" s="13">
        <f>IF(WaterfallTable[[#This Row],[Year]]&gt;SaleExitYear,0,IF(WaterfallTable[[#This Row],[Year]]=0,0,MIN(WaterfallTable[[#This Row],[Cash Available]],WaterfallTable[[#This Row],[Capital Balance A]])))</f>
        <v>0</v>
      </c>
      <c r="I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2" s="13">
        <f>IF(WaterfallTable[[#This Row],[Year]]&gt;SaleExitYear,0,WaterfallTable[[#This Row],[Pref Paid]]+WaterfallTable[[#This Row],[Capital Returned A]]+WaterfallTable[[#This Row],[Residual A]])</f>
        <v>0</v>
      </c>
      <c r="K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2" s="13">
        <f>IF(WaterfallTable[[#This Row],[Year]]&gt;SaleExitYear,0,WaterfallTable[[#This Row],[Capital Returned B]]+WaterfallTable[[#This Row],[ Residual   B]])</f>
        <v>0</v>
      </c>
      <c r="O12" s="13">
        <f>IF(WaterfallTable[[#This Row],[Year]]&gt;SaleExitYear,0,IF(WaterfallTable[[#This Row],[Year]]=0,SponsorPropertyPayment,0))</f>
        <v>0</v>
      </c>
      <c r="P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2" s="13">
        <f>IF(WaterfallTable[[#This Row],[Year]]&gt;SaleExitYear,0,WaterfallTable[[#This Row],[Property Payment]]+WaterfallTable[[#This Row],[Residual]])</f>
        <v>0</v>
      </c>
      <c r="S12" s="14"/>
    </row>
    <row r="13" spans="2:32" x14ac:dyDescent="0.25">
      <c r="B13" s="13">
        <v>9</v>
      </c>
      <c r="C13" s="13">
        <f>IF(WaterfallTable[[#This Row],[Year]]&gt;SaleExitYear,0,INDEX(AnnualModelTable[Cash Available Before Distributions],MATCH(WaterfallTable[[#This Row],[Year]],AnnualModelTable[Year],0)))</f>
        <v>0</v>
      </c>
      <c r="D13" s="13">
        <f>IF(WaterfallTable[[#This Row],[Year]]&gt;SaleExitYear,0,WaterfallTable[[#This Row],[Capital Balance A]]*ClassAPreferredReturn)</f>
        <v>0</v>
      </c>
      <c r="E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3" s="13">
        <f>IF(WaterfallTable[[#This Row],[Year]]&gt;SaleExitYear,0,IF(WaterfallTable[[#This Row],[Year]]=0,0,MIN(WaterfallTable[[#This Row],[Cash Available]],WaterfallTable[[#This Row],[Capital Balance A]])))</f>
        <v>0</v>
      </c>
      <c r="I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3" s="13">
        <f>IF(WaterfallTable[[#This Row],[Year]]&gt;SaleExitYear,0,WaterfallTable[[#This Row],[Pref Paid]]+WaterfallTable[[#This Row],[Capital Returned A]]+WaterfallTable[[#This Row],[Residual A]])</f>
        <v>0</v>
      </c>
      <c r="K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3" s="13">
        <f>IF(WaterfallTable[[#This Row],[Year]]&gt;SaleExitYear,0,WaterfallTable[[#This Row],[Capital Returned B]]+WaterfallTable[[#This Row],[ Residual   B]])</f>
        <v>0</v>
      </c>
      <c r="O13" s="13">
        <f>IF(WaterfallTable[[#This Row],[Year]]&gt;SaleExitYear,0,IF(WaterfallTable[[#This Row],[Year]]=0,SponsorPropertyPayment,0))</f>
        <v>0</v>
      </c>
      <c r="P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3" s="13">
        <f>IF(WaterfallTable[[#This Row],[Year]]&gt;SaleExitYear,0,WaterfallTable[[#This Row],[Property Payment]]+WaterfallTable[[#This Row],[Residual]])</f>
        <v>0</v>
      </c>
      <c r="S13" s="14"/>
    </row>
    <row r="14" spans="2:32" x14ac:dyDescent="0.25">
      <c r="B14" s="13">
        <v>10</v>
      </c>
      <c r="C14" s="13">
        <f>IF(WaterfallTable[[#This Row],[Year]]&gt;SaleExitYear,0,INDEX(AnnualModelTable[Cash Available Before Distributions],MATCH(WaterfallTable[[#This Row],[Year]],AnnualModelTable[Year],0)))</f>
        <v>0</v>
      </c>
      <c r="D14" s="13">
        <f>IF(WaterfallTable[[#This Row],[Year]]&gt;SaleExitYear,0,WaterfallTable[[#This Row],[Capital Balance A]]*ClassAPreferredReturn)</f>
        <v>0</v>
      </c>
      <c r="E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4" s="13">
        <f>IF(WaterfallTable[[#This Row],[Year]]&gt;SaleExitYear,0,IF(WaterfallTable[[#This Row],[Year]]=0,0,MIN(WaterfallTable[[#This Row],[Cash Available]],WaterfallTable[[#This Row],[Capital Balance A]])))</f>
        <v>0</v>
      </c>
      <c r="I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4" s="13">
        <f>IF(WaterfallTable[[#This Row],[Year]]&gt;SaleExitYear,0,WaterfallTable[[#This Row],[Pref Paid]]+WaterfallTable[[#This Row],[Capital Returned A]]+WaterfallTable[[#This Row],[Residual A]])</f>
        <v>0</v>
      </c>
      <c r="K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4" s="13">
        <f>IF(WaterfallTable[[#This Row],[Year]]&gt;SaleExitYear,0,WaterfallTable[[#This Row],[Capital Returned B]]+WaterfallTable[[#This Row],[ Residual   B]])</f>
        <v>0</v>
      </c>
      <c r="O14" s="13">
        <f>IF(WaterfallTable[[#This Row],[Year]]&gt;SaleExitYear,0,IF(WaterfallTable[[#This Row],[Year]]=0,SponsorPropertyPayment,0))</f>
        <v>0</v>
      </c>
      <c r="P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4" s="13">
        <f>IF(WaterfallTable[[#This Row],[Year]]&gt;SaleExitYear,0,WaterfallTable[[#This Row],[Property Payment]]+WaterfallTable[[#This Row],[Residual]])</f>
        <v>0</v>
      </c>
      <c r="S14" s="14"/>
    </row>
    <row r="15" spans="2:32" x14ac:dyDescent="0.2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2:32" x14ac:dyDescent="0.25">
      <c r="N16" s="2"/>
      <c r="O16" s="2"/>
      <c r="P16" s="2"/>
      <c r="Q16" s="2"/>
      <c r="R16" s="2"/>
      <c r="S16" s="2"/>
      <c r="T16" s="2"/>
    </row>
    <row r="17" spans="2:20" x14ac:dyDescent="0.25">
      <c r="B17" s="5" t="s">
        <v>269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s="14" customFormat="1" ht="45" x14ac:dyDescent="0.25">
      <c r="B18" s="57" t="s">
        <v>70</v>
      </c>
      <c r="C18" s="58" t="s">
        <v>305</v>
      </c>
      <c r="D18" s="58" t="s">
        <v>306</v>
      </c>
      <c r="E18" s="58" t="s">
        <v>307</v>
      </c>
      <c r="F18" s="58" t="s">
        <v>78</v>
      </c>
      <c r="G18" s="58" t="s">
        <v>79</v>
      </c>
      <c r="H18" s="58" t="s">
        <v>80</v>
      </c>
      <c r="I18" s="58" t="s">
        <v>81</v>
      </c>
      <c r="J18" s="58" t="s">
        <v>82</v>
      </c>
      <c r="K18" s="58" t="s">
        <v>83</v>
      </c>
      <c r="L18" s="58" t="s">
        <v>84</v>
      </c>
      <c r="M18" s="58" t="s">
        <v>85</v>
      </c>
      <c r="N18" s="58" t="s">
        <v>86</v>
      </c>
      <c r="O18" s="58" t="s">
        <v>87</v>
      </c>
      <c r="P18" s="58" t="s">
        <v>298</v>
      </c>
      <c r="Q18" s="58" t="s">
        <v>299</v>
      </c>
      <c r="R18" s="58" t="s">
        <v>74</v>
      </c>
      <c r="S18" s="59" t="s">
        <v>75</v>
      </c>
      <c r="T18" s="58" t="s">
        <v>76</v>
      </c>
    </row>
    <row r="19" spans="2:20" x14ac:dyDescent="0.25">
      <c r="B19" s="49" t="s">
        <v>88</v>
      </c>
      <c r="C19" s="41">
        <f>ClassACapital</f>
        <v>300000</v>
      </c>
      <c r="D19" s="41">
        <f>ClassACapital</f>
        <v>300000</v>
      </c>
      <c r="E19" s="41">
        <f>-ReturnsTable[[#This Row],[Capital Investment]]</f>
        <v>-300000</v>
      </c>
      <c r="F19" s="41">
        <f>IF(1&gt;SaleExitYear,0,INDEX(WaterfallTable[Total Dist A],MATCH(1,WaterfallTable[Year],0)))</f>
        <v>0</v>
      </c>
      <c r="G19" s="41">
        <f>IF(2&gt;SaleExitYear,0,INDEX(WaterfallTable[Total Dist A],MATCH(2,WaterfallTable[Year],0)))</f>
        <v>41781.439211589022</v>
      </c>
      <c r="H19" s="41">
        <f>IF(3&gt;SaleExitYear,0,INDEX(WaterfallTable[Total Dist A],MATCH(3,WaterfallTable[Year],0)))</f>
        <v>258218.56078841098</v>
      </c>
      <c r="I19" s="41">
        <f>IF(4&gt;SaleExitYear,0,INDEX(WaterfallTable[Total Dist A],MATCH(4,WaterfallTable[Year],0)))</f>
        <v>0</v>
      </c>
      <c r="J19" s="41">
        <f>IF(5&gt;SaleExitYear,0,INDEX(WaterfallTable[Total Dist A],MATCH(5,WaterfallTable[Year],0)))</f>
        <v>278057.43248614768</v>
      </c>
      <c r="K19" s="41">
        <f>IF(6&gt;SaleExitYear,0,INDEX(WaterfallTable[Total Dist A],MATCH(6,WaterfallTable[Year],0)))</f>
        <v>0</v>
      </c>
      <c r="L19" s="41">
        <f>IF(7&gt;SaleExitYear,0,INDEX(WaterfallTable[Total Dist A],MATCH(7,WaterfallTable[Year],0)))</f>
        <v>0</v>
      </c>
      <c r="M19" s="41">
        <f>IF(8&gt;SaleExitYear,0,INDEX(WaterfallTable[Total Dist A],MATCH(8,WaterfallTable[Year],0)))</f>
        <v>0</v>
      </c>
      <c r="N19" s="41">
        <f>IF(9&gt;SaleExitYear,0,INDEX(WaterfallTable[Total Dist A],MATCH(9,WaterfallTable[Year],0)))</f>
        <v>0</v>
      </c>
      <c r="O19" s="41">
        <f>IF(10&gt;SaleExitYear,0,INDEX(WaterfallTable[Total Dist A],MATCH(10,WaterfallTable[Year],0)))</f>
        <v>0</v>
      </c>
      <c r="P19" s="41">
        <f>SUM(ReturnsTable[[#This Row],[Initial Capitalization]:[Year 10]])</f>
        <v>278057.43248614768</v>
      </c>
      <c r="Q19" s="41">
        <f>ReturnsTable[[#This Row],[Total Profit]]+ReturnsTable[[#This Row],[Capital Investment]]</f>
        <v>578057.43248614762</v>
      </c>
      <c r="R19" s="42">
        <f>IFERROR(ReturnsTable[[#This Row],[Total Dist]]/ReturnsTable[[#This Row],[Capital Investment]],0)</f>
        <v>1.9268581082871588</v>
      </c>
      <c r="S19" s="53">
        <f>IFERROR(ReturnsTable[[#This Row],[Total Profit]]/ReturnsTable[[#This Row],[Capital Investment]],0)</f>
        <v>0.92685810828715898</v>
      </c>
      <c r="T19" s="60">
        <f>IFERROR(IRR(ReturnsTable[[#This Row],[Initial Capitalization]:[Year 10]]),0)</f>
        <v>0.18919673669698978</v>
      </c>
    </row>
    <row r="20" spans="2:20" x14ac:dyDescent="0.25">
      <c r="B20" s="50" t="s">
        <v>89</v>
      </c>
      <c r="C20" s="43">
        <f>ClassBCapital</f>
        <v>547500</v>
      </c>
      <c r="D20" s="43">
        <f>ClassBCapital</f>
        <v>547500</v>
      </c>
      <c r="E20" s="43">
        <f>-ReturnsTable[[#This Row],[Capital Investment]]</f>
        <v>-547500</v>
      </c>
      <c r="F20" s="43">
        <f>IF(1&gt;SaleExitYear,0,INDEX(WaterfallTable[Total Dist B],MATCH(1,WaterfallTable[Year],0)))</f>
        <v>0</v>
      </c>
      <c r="G20" s="43">
        <f>IF(2&gt;SaleExitYear,0,INDEX(WaterfallTable[Total Dist B],MATCH(2,WaterfallTable[Year],0)))</f>
        <v>0</v>
      </c>
      <c r="H20" s="43">
        <f>IF(3&gt;SaleExitYear,0,INDEX(WaterfallTable[Total Dist B],MATCH(3,WaterfallTable[Year],0)))</f>
        <v>314885.44678405975</v>
      </c>
      <c r="I20" s="43">
        <f>IF(4&gt;SaleExitYear,0,INDEX(WaterfallTable[Total Dist B],MATCH(4,WaterfallTable[Year],0)))</f>
        <v>34827.567572470594</v>
      </c>
      <c r="J20" s="43">
        <f>IF(5&gt;SaleExitYear,0,INDEX(WaterfallTable[Total Dist B],MATCH(5,WaterfallTable[Year],0)))</f>
        <v>536141.89005558123</v>
      </c>
      <c r="K20" s="43">
        <f>IF(6&gt;SaleExitYear,0,INDEX(WaterfallTable[Total Dist B],MATCH(6,WaterfallTable[Year],0)))</f>
        <v>0</v>
      </c>
      <c r="L20" s="43">
        <f>IF(7&gt;SaleExitYear,0,INDEX(WaterfallTable[Total Dist B],MATCH(7,WaterfallTable[Year],0)))</f>
        <v>0</v>
      </c>
      <c r="M20" s="43">
        <f>IF(8&gt;SaleExitYear,0,INDEX(WaterfallTable[Total Dist B],MATCH(8,WaterfallTable[Year],0)))</f>
        <v>0</v>
      </c>
      <c r="N20" s="43">
        <f>IF(9&gt;SaleExitYear,0,INDEX(WaterfallTable[Total Dist B],MATCH(9,WaterfallTable[Year],0)))</f>
        <v>0</v>
      </c>
      <c r="O20" s="43">
        <f>IF(10&gt;SaleExitYear,0,INDEX(WaterfallTable[Total Dist B],MATCH(10,WaterfallTable[Year],0)))</f>
        <v>0</v>
      </c>
      <c r="P20" s="43">
        <f>SUM(ReturnsTable[[#This Row],[Initial Capitalization]:[Year 10]])</f>
        <v>338354.90441211156</v>
      </c>
      <c r="Q20" s="43">
        <f>ReturnsTable[[#This Row],[Total Profit]]+ReturnsTable[[#This Row],[Capital Investment]]</f>
        <v>885854.9044121115</v>
      </c>
      <c r="R20" s="44">
        <f>IFERROR(ReturnsTable[[#This Row],[Total Dist]]/ReturnsTable[[#This Row],[Capital Investment]],0)</f>
        <v>1.6179998254102492</v>
      </c>
      <c r="S20" s="54">
        <f>IFERROR(ReturnsTable[[#This Row],[Total Profit]]/ReturnsTable[[#This Row],[Capital Investment]],0)</f>
        <v>0.61799982541024945</v>
      </c>
      <c r="T20" s="60">
        <f>IFERROR(IRR(ReturnsTable[[#This Row],[Initial Capitalization]:[Year 10]]),0)</f>
        <v>0.12146973485163892</v>
      </c>
    </row>
    <row r="21" spans="2:20" x14ac:dyDescent="0.25">
      <c r="B21" s="51" t="s">
        <v>90</v>
      </c>
      <c r="C21" s="45">
        <f>SponsorCapitalInvestment</f>
        <v>136283</v>
      </c>
      <c r="D21" s="45">
        <f>SponsorBasis</f>
        <v>100000</v>
      </c>
      <c r="E21" s="45">
        <f>INDEX(WaterfallTable[Total Dist2],MATCH(0,WaterfallTable[Year],0))-ReturnsTable[[#This Row],[Capital Investment]]</f>
        <v>-36283</v>
      </c>
      <c r="F21" s="45">
        <f>IF(1&gt;SaleExitYear,0,INDEX(WaterfallTable[Total Dist2],MATCH(1,WaterfallTable[Year],0)))</f>
        <v>0</v>
      </c>
      <c r="G21" s="45">
        <f>IF(2&gt;SaleExitYear,0,INDEX(WaterfallTable[Total Dist2],MATCH(2,WaterfallTable[Year],0)))</f>
        <v>0</v>
      </c>
      <c r="H21" s="45">
        <f>IF(3&gt;SaleExitYear,0,INDEX(WaterfallTable[Total Dist2],MATCH(3,WaterfallTable[Year],0)))</f>
        <v>0</v>
      </c>
      <c r="I21" s="45">
        <f>IF(4&gt;SaleExitYear,0,INDEX(WaterfallTable[Total Dist2],MATCH(4,WaterfallTable[Year],0)))</f>
        <v>0</v>
      </c>
      <c r="J21" s="45">
        <f>IF(5&gt;SaleExitYear,0,INDEX(WaterfallTable[Total Dist2],MATCH(5,WaterfallTable[Year],0)))</f>
        <v>523754.85203518625</v>
      </c>
      <c r="K21" s="45">
        <f>IF(6&gt;SaleExitYear,0,INDEX(WaterfallTable[Total Dist2],MATCH(6,WaterfallTable[Year],0)))</f>
        <v>0</v>
      </c>
      <c r="L21" s="45">
        <f>IF(7&gt;SaleExitYear,0,INDEX(WaterfallTable[Total Dist2],MATCH(7,WaterfallTable[Year],0)))</f>
        <v>0</v>
      </c>
      <c r="M21" s="45">
        <f>IF(8&gt;SaleExitYear,0,INDEX(WaterfallTable[Total Dist2],MATCH(8,WaterfallTable[Year],0)))</f>
        <v>0</v>
      </c>
      <c r="N21" s="45">
        <f>IF(9&gt;SaleExitYear,0,INDEX(WaterfallTable[Total Dist2],MATCH(9,WaterfallTable[Year],0)))</f>
        <v>0</v>
      </c>
      <c r="O21" s="45">
        <f>IF(10&gt;SaleExitYear,0,INDEX(WaterfallTable[Total Dist2],MATCH(10,WaterfallTable[Year],0)))</f>
        <v>0</v>
      </c>
      <c r="P21" s="45">
        <f>SUM(ReturnsTable[[#This Row],[Initial Capitalization]:[Year 10]])</f>
        <v>487471.85203518625</v>
      </c>
      <c r="Q21" s="45">
        <f>ReturnsTable[[#This Row],[Total Profit]]+ReturnsTable[[#This Row],[Capital Investment]]</f>
        <v>623754.85203518625</v>
      </c>
      <c r="R21" s="46">
        <f>IFERROR(ReturnsTable[[#This Row],[Total Dist]]/ReturnsTable[[#This Row],[Capital Investment]],0)</f>
        <v>4.5769087269519035</v>
      </c>
      <c r="S21" s="55">
        <f>IFERROR(ReturnsTable[[#This Row],[Total Profit]]/ReturnsTable[[#This Row],[Capital Investment]],0)</f>
        <v>3.5769087269519035</v>
      </c>
      <c r="T21" s="60">
        <f>IFERROR(IRR(ReturnsTable[[#This Row],[Initial Capitalization]:[Year 10]]),0)</f>
        <v>0.7056305810885255</v>
      </c>
    </row>
    <row r="22" spans="2:20" x14ac:dyDescent="0.25">
      <c r="B22" s="52" t="s">
        <v>288</v>
      </c>
      <c r="C22" s="47">
        <f>0</f>
        <v>0</v>
      </c>
      <c r="D22" s="47">
        <f>0</f>
        <v>0</v>
      </c>
      <c r="E22" s="47">
        <f>0</f>
        <v>0</v>
      </c>
      <c r="F22" s="47">
        <f>IF(1&gt;SaleExitYear,0,ManagementFeeRate*INDEX(AnnualModelTable[Occupancy Effective Gross Income],MATCH(1,AnnualModelTable[Year],0)))</f>
        <v>2123.94</v>
      </c>
      <c r="G22" s="47">
        <f>IF(2&gt;SaleExitYear,0,ManagementFeeRate*INDEX(AnnualModelTable[Occupancy Effective Gross Income],MATCH(2,AnnualModelTable[Year],0)))</f>
        <v>6737.5152000000007</v>
      </c>
      <c r="H22" s="47">
        <f>IF(3&gt;SaleExitYear,0,ManagementFeeRate*INDEX(AnnualModelTable[Occupancy Effective Gross Income],MATCH(3,AnnualModelTable[Year],0)))</f>
        <v>10213.632000000001</v>
      </c>
      <c r="I22" s="47">
        <f>IF(4&gt;SaleExitYear,0,ManagementFeeRate*INDEX(AnnualModelTable[Occupancy Effective Gross Income],MATCH(4,AnnualModelTable[Year],0)))</f>
        <v>10213.632000000001</v>
      </c>
      <c r="J22" s="47">
        <f>IF(5&gt;SaleExitYear,0,ManagementFeeRate*INDEX(AnnualModelTable[Occupancy Effective Gross Income],MATCH(5,AnnualModelTable[Year],0)))</f>
        <v>10213.632000000001</v>
      </c>
      <c r="K22" s="47">
        <f>IF(6&gt;SaleExitYear,0,ManagementFeeRate*INDEX(AnnualModelTable[Occupancy Effective Gross Income],MATCH(6,AnnualModelTable[Year],0)))</f>
        <v>0</v>
      </c>
      <c r="L22" s="47">
        <f>IF(7&gt;SaleExitYear,0,ManagementFeeRate*INDEX(AnnualModelTable[Occupancy Effective Gross Income],MATCH(7,AnnualModelTable[Year],0)))</f>
        <v>0</v>
      </c>
      <c r="M22" s="47">
        <f>IF(8&gt;SaleExitYear,0,ManagementFeeRate*INDEX(AnnualModelTable[Occupancy Effective Gross Income],MATCH(8,AnnualModelTable[Year],0)))</f>
        <v>0</v>
      </c>
      <c r="N22" s="47">
        <f>IF(9&gt;SaleExitYear,0,ManagementFeeRate*INDEX(AnnualModelTable[Occupancy Effective Gross Income],MATCH(9,AnnualModelTable[Year],0)))</f>
        <v>0</v>
      </c>
      <c r="O22" s="47">
        <f>IF(10&gt;SaleExitYear,0,ManagementFeeRate*INDEX(AnnualModelTable[Occupancy Effective Gross Income],MATCH(10,AnnualModelTable[Year],0)))</f>
        <v>0</v>
      </c>
      <c r="P22" s="47">
        <f>SUM(ReturnsTable[[#This Row],[Initial Capitalization]:[Year 10]])</f>
        <v>39502.351200000005</v>
      </c>
      <c r="Q22" s="47">
        <f>ReturnsTable[[#This Row],[Total Profit]]</f>
        <v>39502.351200000005</v>
      </c>
      <c r="R22" s="48">
        <f>0</f>
        <v>0</v>
      </c>
      <c r="S22" s="56">
        <f>0</f>
        <v>0</v>
      </c>
      <c r="T22" s="60">
        <f>0</f>
        <v>0</v>
      </c>
    </row>
    <row r="24" spans="2:20" ht="15.75" thickBot="1" x14ac:dyDescent="0.3"/>
    <row r="25" spans="2:20" ht="15.75" thickBot="1" x14ac:dyDescent="0.3">
      <c r="B25" s="74" t="s">
        <v>373</v>
      </c>
      <c r="C25" s="101" t="s">
        <v>374</v>
      </c>
      <c r="D25" s="102"/>
      <c r="E25" s="103"/>
      <c r="F25" s="101" t="s">
        <v>375</v>
      </c>
      <c r="G25" s="102"/>
      <c r="H25" s="102"/>
      <c r="I25" s="102"/>
      <c r="J25" s="102"/>
      <c r="K25" s="102"/>
      <c r="L25" s="114"/>
      <c r="M25" s="115"/>
    </row>
    <row r="26" spans="2:20" ht="15.75" thickBot="1" x14ac:dyDescent="0.3">
      <c r="B26" s="75"/>
      <c r="C26" s="104" t="s">
        <v>332</v>
      </c>
      <c r="D26" s="105"/>
      <c r="E26" s="106"/>
      <c r="F26" s="104" t="s">
        <v>336</v>
      </c>
      <c r="G26" s="105"/>
      <c r="H26" s="105"/>
      <c r="I26" s="105"/>
      <c r="J26" s="105"/>
      <c r="K26" s="105"/>
      <c r="L26" s="114"/>
      <c r="M26" s="115"/>
    </row>
    <row r="27" spans="2:20" ht="15.75" thickBot="1" x14ac:dyDescent="0.3">
      <c r="B27" s="76"/>
      <c r="C27" s="155" t="s">
        <v>334</v>
      </c>
      <c r="D27" s="156"/>
      <c r="E27" s="157"/>
      <c r="F27" s="155" t="s">
        <v>376</v>
      </c>
      <c r="G27" s="156"/>
      <c r="H27" s="156"/>
      <c r="I27" s="156"/>
      <c r="J27" s="156"/>
      <c r="K27" s="156"/>
      <c r="L27" s="114"/>
      <c r="M27" s="115"/>
    </row>
    <row r="28" spans="2:20" ht="15.75" thickBot="1" x14ac:dyDescent="0.3">
      <c r="B28" s="77"/>
      <c r="C28" s="152" t="s">
        <v>335</v>
      </c>
      <c r="D28" s="153"/>
      <c r="E28" s="154"/>
      <c r="F28" s="152" t="s">
        <v>377</v>
      </c>
      <c r="G28" s="153"/>
      <c r="H28" s="153"/>
      <c r="I28" s="153"/>
      <c r="J28" s="153"/>
      <c r="K28" s="153"/>
      <c r="L28" s="114"/>
      <c r="M28" s="115"/>
    </row>
    <row r="31" spans="2:20" ht="15.75" thickBot="1" x14ac:dyDescent="0.3"/>
    <row r="32" spans="2:20" ht="16.5" thickBot="1" x14ac:dyDescent="0.3">
      <c r="B32" s="149" t="s">
        <v>379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1"/>
    </row>
    <row r="33" spans="2:29" ht="30.75" thickBot="1" x14ac:dyDescent="0.3">
      <c r="B33" s="146" t="s">
        <v>380</v>
      </c>
      <c r="C33" s="142"/>
      <c r="D33" s="143"/>
      <c r="E33" s="94" t="s">
        <v>70</v>
      </c>
      <c r="F33" s="126" t="s">
        <v>381</v>
      </c>
      <c r="G33" s="142"/>
      <c r="H33" s="142"/>
      <c r="I33" s="142"/>
      <c r="J33" s="143"/>
      <c r="K33" s="94" t="s">
        <v>298</v>
      </c>
      <c r="L33" s="94" t="s">
        <v>75</v>
      </c>
      <c r="M33" s="94" t="s">
        <v>378</v>
      </c>
      <c r="N33" s="126" t="s">
        <v>72</v>
      </c>
      <c r="O33" s="127"/>
    </row>
    <row r="34" spans="2:29" x14ac:dyDescent="0.25">
      <c r="B34" s="147" t="str">
        <f>INDEX('STR Scenarios'!$AB$2:$AB$4,1)</f>
        <v>Base Co-Living</v>
      </c>
      <c r="C34" s="134"/>
      <c r="D34" s="148"/>
      <c r="E34" s="91" t="str">
        <f>CHOOSE(1,"Class A","Class B","Sponsor")</f>
        <v>Class A</v>
      </c>
      <c r="F34" s="133" t="str">
        <f t="shared" ref="F34:F42" si="0">B34&amp;" - "&amp;E34</f>
        <v>Base Co-Living - Class A</v>
      </c>
      <c r="G34" s="134"/>
      <c r="H34" s="134"/>
      <c r="I34" s="134"/>
      <c r="J34" s="134"/>
      <c r="K34" s="92">
        <f>INDEX('STR Scenarios'!$AC$2:$AN$4,1,CHOOSE(1,1,5,9))</f>
        <v>219799.48570431559</v>
      </c>
      <c r="L34" s="93">
        <f>INDEX('STR Scenarios'!$AC$2:$AN$4,1,CHOOSE(1,2,6,10))</f>
        <v>0.73266495234771867</v>
      </c>
      <c r="M34" s="93">
        <f>INDEX('STR Scenarios'!$AC$2:$AN$4,1,CHOOSE(1,3,7,11))</f>
        <v>0.1634264838474333</v>
      </c>
      <c r="N34" s="128">
        <f>INDEX('STR Scenarios'!$AC$2:$AN$4,1,CHOOSE(1,4,8,12))</f>
        <v>519799.48570431559</v>
      </c>
      <c r="O34" s="129"/>
    </row>
    <row r="35" spans="2:29" x14ac:dyDescent="0.25">
      <c r="B35" s="147" t="str">
        <f>INDEX('STR Scenarios'!$AB$2:$AB$4,1)</f>
        <v>Base Co-Living</v>
      </c>
      <c r="C35" s="134"/>
      <c r="D35" s="148"/>
      <c r="E35" s="79" t="str">
        <f>CHOOSE(2,"Class A","Class B","Sponsor")</f>
        <v>Class B</v>
      </c>
      <c r="F35" s="133" t="str">
        <f t="shared" si="0"/>
        <v>Base Co-Living - Class B</v>
      </c>
      <c r="G35" s="134"/>
      <c r="H35" s="134"/>
      <c r="I35" s="134"/>
      <c r="J35" s="134"/>
      <c r="K35" s="80">
        <f>INDEX('STR Scenarios'!$AC$2:$AN$4,1,CHOOSE(2,1,5,9))</f>
        <v>234783.08283288495</v>
      </c>
      <c r="L35" s="81">
        <f>INDEX('STR Scenarios'!$AC$2:$AN$4,1,CHOOSE(2,2,6,10))</f>
        <v>0.42882754855321453</v>
      </c>
      <c r="M35" s="81">
        <f>INDEX('STR Scenarios'!$AC$2:$AN$4,1,CHOOSE(2,3,7,11))</f>
        <v>8.9826902125470953E-2</v>
      </c>
      <c r="N35" s="128">
        <f>INDEX('STR Scenarios'!$AC$2:$AN$4,1,CHOOSE(2,4,8,12))</f>
        <v>782283.08283288497</v>
      </c>
      <c r="O35" s="129"/>
    </row>
    <row r="36" spans="2:29" x14ac:dyDescent="0.25">
      <c r="B36" s="147" t="str">
        <f>INDEX('STR Scenarios'!$AB$2:$AB$4,1)</f>
        <v>Base Co-Living</v>
      </c>
      <c r="C36" s="134"/>
      <c r="D36" s="148"/>
      <c r="E36" s="79" t="str">
        <f>CHOOSE(3,"Class A","Class B","Sponsor")</f>
        <v>Sponsor</v>
      </c>
      <c r="F36" s="133" t="str">
        <f t="shared" si="0"/>
        <v>Base Co-Living - Sponsor</v>
      </c>
      <c r="G36" s="134"/>
      <c r="H36" s="134"/>
      <c r="I36" s="134"/>
      <c r="J36" s="134"/>
      <c r="K36" s="80">
        <f>INDEX('STR Scenarios'!$AC$2:$AN$4,1,CHOOSE(3,1,5,9))</f>
        <v>327148.34739884926</v>
      </c>
      <c r="L36" s="81">
        <f>INDEX('STR Scenarios'!$AC$2:$AN$4,1,CHOOSE(3,2,6,10))</f>
        <v>2.4005073809561668</v>
      </c>
      <c r="M36" s="81">
        <f>INDEX('STR Scenarios'!$AC$2:$AN$4,1,CHOOSE(3,3,7,11))</f>
        <v>0.58541819876459078</v>
      </c>
      <c r="N36" s="128">
        <f>INDEX('STR Scenarios'!$AC$2:$AN$4,1,CHOOSE(3,4,8,12))</f>
        <v>463431.34739884926</v>
      </c>
      <c r="O36" s="129"/>
    </row>
    <row r="37" spans="2:29" x14ac:dyDescent="0.25">
      <c r="B37" s="144" t="str">
        <f>INDEX('STR Scenarios'!$AB$2:$AB$4,2)</f>
        <v>One Floor STR + One Floor Co-Living</v>
      </c>
      <c r="C37" s="136"/>
      <c r="D37" s="145"/>
      <c r="E37" s="82" t="str">
        <f>CHOOSE(1,"Class A","Class B","Sponsor")</f>
        <v>Class A</v>
      </c>
      <c r="F37" s="135" t="str">
        <f t="shared" si="0"/>
        <v>One Floor STR + One Floor Co-Living - Class A</v>
      </c>
      <c r="G37" s="136"/>
      <c r="H37" s="136"/>
      <c r="I37" s="136"/>
      <c r="J37" s="136"/>
      <c r="K37" s="83">
        <f>INDEX('STR Scenarios'!$AC$2:$AN$4,2,CHOOSE(1,1,5,9))</f>
        <v>264666.01012491627</v>
      </c>
      <c r="L37" s="84">
        <f>INDEX('STR Scenarios'!$AC$2:$AN$4,2,CHOOSE(1,2,6,10))</f>
        <v>0.88222003374972091</v>
      </c>
      <c r="M37" s="84">
        <f>INDEX('STR Scenarios'!$AC$2:$AN$4,2,CHOOSE(1,3,7,11))</f>
        <v>0.18498025525507211</v>
      </c>
      <c r="N37" s="120">
        <f>INDEX('STR Scenarios'!$AC$2:$AN$4,2,CHOOSE(1,4,8,12))</f>
        <v>564666.01012491621</v>
      </c>
      <c r="O37" s="121"/>
      <c r="W37"/>
      <c r="X37"/>
      <c r="Y37"/>
      <c r="Z37"/>
      <c r="AA37"/>
      <c r="AB37"/>
      <c r="AC37"/>
    </row>
    <row r="38" spans="2:29" x14ac:dyDescent="0.25">
      <c r="B38" s="144" t="str">
        <f>INDEX('STR Scenarios'!$AB$2:$AB$4,2)</f>
        <v>One Floor STR + One Floor Co-Living</v>
      </c>
      <c r="C38" s="136"/>
      <c r="D38" s="145"/>
      <c r="E38" s="82" t="str">
        <f>CHOOSE(2,"Class A","Class B","Sponsor")</f>
        <v>Class B</v>
      </c>
      <c r="F38" s="135" t="str">
        <f t="shared" si="0"/>
        <v>One Floor STR + One Floor Co-Living - Class B</v>
      </c>
      <c r="G38" s="136"/>
      <c r="H38" s="136"/>
      <c r="I38" s="136"/>
      <c r="J38" s="136"/>
      <c r="K38" s="83">
        <f>INDEX('STR Scenarios'!$AC$2:$AN$4,2,CHOOSE(2,1,5,9))</f>
        <v>316186.60410725744</v>
      </c>
      <c r="L38" s="84">
        <f>INDEX('STR Scenarios'!$AC$2:$AN$4,2,CHOOSE(2,2,6,10))</f>
        <v>0.57750977919133784</v>
      </c>
      <c r="M38" s="84">
        <f>INDEX('STR Scenarios'!$AC$2:$AN$4,2,CHOOSE(2,3,7,11))</f>
        <v>0.11563386411139498</v>
      </c>
      <c r="N38" s="120">
        <f>INDEX('STR Scenarios'!$AC$2:$AN$4,2,CHOOSE(2,4,8,12))</f>
        <v>863686.60410725744</v>
      </c>
      <c r="O38" s="121"/>
      <c r="W38"/>
      <c r="X38"/>
      <c r="Y38"/>
      <c r="Z38"/>
      <c r="AA38"/>
      <c r="AB38"/>
      <c r="AC38"/>
    </row>
    <row r="39" spans="2:29" x14ac:dyDescent="0.25">
      <c r="B39" s="144" t="str">
        <f>INDEX('STR Scenarios'!$AB$2:$AB$4,2)</f>
        <v>One Floor STR + One Floor Co-Living</v>
      </c>
      <c r="C39" s="136"/>
      <c r="D39" s="145"/>
      <c r="E39" s="82" t="str">
        <f>CHOOSE(3,"Class A","Class B","Sponsor")</f>
        <v>Sponsor</v>
      </c>
      <c r="F39" s="135" t="str">
        <f t="shared" si="0"/>
        <v>One Floor STR + One Floor Co-Living - Sponsor</v>
      </c>
      <c r="G39" s="136"/>
      <c r="H39" s="136"/>
      <c r="I39" s="136"/>
      <c r="J39" s="136"/>
      <c r="K39" s="83">
        <f>INDEX('STR Scenarios'!$AC$2:$AN$4,2,CHOOSE(3,1,5,9))</f>
        <v>453156.53786465875</v>
      </c>
      <c r="L39" s="84">
        <f>INDEX('STR Scenarios'!$AC$2:$AN$4,2,CHOOSE(3,2,6,10))</f>
        <v>3.3251141952015932</v>
      </c>
      <c r="M39" s="84">
        <f>INDEX('STR Scenarios'!$AC$2:$AN$4,2,CHOOSE(3,3,7,11))</f>
        <v>0.68267085359075441</v>
      </c>
      <c r="N39" s="120">
        <f>INDEX('STR Scenarios'!$AC$2:$AN$4,2,CHOOSE(3,4,8,12))</f>
        <v>589439.53786465875</v>
      </c>
      <c r="O39" s="121"/>
      <c r="W39"/>
      <c r="X39"/>
      <c r="Y39"/>
      <c r="Z39"/>
      <c r="AA39"/>
      <c r="AB39"/>
      <c r="AC39"/>
    </row>
    <row r="40" spans="2:29" x14ac:dyDescent="0.25">
      <c r="B40" s="140" t="str">
        <f>INDEX('STR Scenarios'!$AB$2:$AB$4,3)</f>
        <v>Whole Building STR</v>
      </c>
      <c r="C40" s="138"/>
      <c r="D40" s="141"/>
      <c r="E40" s="85" t="str">
        <f>CHOOSE(1,"Class A","Class B","Sponsor")</f>
        <v>Class A</v>
      </c>
      <c r="F40" s="137" t="str">
        <f t="shared" si="0"/>
        <v>Whole Building STR - Class A</v>
      </c>
      <c r="G40" s="138"/>
      <c r="H40" s="138"/>
      <c r="I40" s="138"/>
      <c r="J40" s="138"/>
      <c r="K40" s="86">
        <f>INDEX('STR Scenarios'!$AC$2:$AN$4,3,CHOOSE(1,1,5,9))</f>
        <v>278057.43248614768</v>
      </c>
      <c r="L40" s="87">
        <f>INDEX('STR Scenarios'!$AC$2:$AN$4,3,CHOOSE(1,2,6,10))</f>
        <v>0.92685810828715898</v>
      </c>
      <c r="M40" s="87">
        <f>INDEX('STR Scenarios'!$AC$2:$AN$4,3,CHOOSE(1,3,7,11))</f>
        <v>0.18919673669698978</v>
      </c>
      <c r="N40" s="122">
        <f>INDEX('STR Scenarios'!$AC$2:$AN$4,3,CHOOSE(1,4,8,12))</f>
        <v>578057.43248614762</v>
      </c>
      <c r="O40" s="123"/>
      <c r="W40"/>
      <c r="X40"/>
      <c r="Y40"/>
      <c r="Z40"/>
      <c r="AA40"/>
      <c r="AB40"/>
      <c r="AC40"/>
    </row>
    <row r="41" spans="2:29" x14ac:dyDescent="0.25">
      <c r="B41" s="140" t="str">
        <f>INDEX('STR Scenarios'!$AB$2:$AB$4,3)</f>
        <v>Whole Building STR</v>
      </c>
      <c r="C41" s="138"/>
      <c r="D41" s="141"/>
      <c r="E41" s="85" t="str">
        <f>CHOOSE(2,"Class A","Class B","Sponsor")</f>
        <v>Class B</v>
      </c>
      <c r="F41" s="137" t="str">
        <f t="shared" si="0"/>
        <v>Whole Building STR - Class B</v>
      </c>
      <c r="G41" s="138"/>
      <c r="H41" s="138"/>
      <c r="I41" s="138"/>
      <c r="J41" s="138"/>
      <c r="K41" s="86">
        <f>INDEX('STR Scenarios'!$AC$2:$AN$4,3,CHOOSE(2,1,5,9))</f>
        <v>338354.90441211156</v>
      </c>
      <c r="L41" s="87">
        <f>INDEX('STR Scenarios'!$AC$2:$AN$4,3,CHOOSE(2,2,6,10))</f>
        <v>0.61799982541024945</v>
      </c>
      <c r="M41" s="87">
        <f>INDEX('STR Scenarios'!$AC$2:$AN$4,3,CHOOSE(2,3,7,11))</f>
        <v>0.12146973485163892</v>
      </c>
      <c r="N41" s="122">
        <f>INDEX('STR Scenarios'!$AC$2:$AN$4,3,CHOOSE(2,4,8,12))</f>
        <v>885854.9044121115</v>
      </c>
      <c r="O41" s="123"/>
      <c r="W41"/>
      <c r="X41"/>
      <c r="Y41"/>
      <c r="Z41"/>
      <c r="AA41"/>
      <c r="AB41"/>
      <c r="AC41"/>
    </row>
    <row r="42" spans="2:29" ht="15.75" thickBot="1" x14ac:dyDescent="0.3">
      <c r="B42" s="130" t="str">
        <f>INDEX('STR Scenarios'!$AB$2:$AB$4,3)</f>
        <v>Whole Building STR</v>
      </c>
      <c r="C42" s="131"/>
      <c r="D42" s="132"/>
      <c r="E42" s="88" t="str">
        <f>CHOOSE(3,"Class A","Class B","Sponsor")</f>
        <v>Sponsor</v>
      </c>
      <c r="F42" s="139" t="str">
        <f t="shared" si="0"/>
        <v>Whole Building STR - Sponsor</v>
      </c>
      <c r="G42" s="131"/>
      <c r="H42" s="131"/>
      <c r="I42" s="131"/>
      <c r="J42" s="131"/>
      <c r="K42" s="89">
        <f>INDEX('STR Scenarios'!$AC$2:$AN$4,3,CHOOSE(3,1,5,9))</f>
        <v>487471.85203518625</v>
      </c>
      <c r="L42" s="90">
        <f>INDEX('STR Scenarios'!$AC$2:$AN$4,3,CHOOSE(3,2,6,10))</f>
        <v>3.5769087269519035</v>
      </c>
      <c r="M42" s="90">
        <f>INDEX('STR Scenarios'!$AC$2:$AN$4,3,CHOOSE(3,3,7,11))</f>
        <v>0.7056305810885255</v>
      </c>
      <c r="N42" s="124">
        <f>INDEX('STR Scenarios'!$AC$2:$AN$4,3,CHOOSE(3,4,8,12))</f>
        <v>623754.85203518625</v>
      </c>
      <c r="O42" s="125"/>
      <c r="W42"/>
      <c r="X42"/>
      <c r="Y42"/>
      <c r="Z42"/>
      <c r="AA42"/>
      <c r="AB42"/>
      <c r="AC42"/>
    </row>
    <row r="43" spans="2:29" x14ac:dyDescent="0.25">
      <c r="W43"/>
      <c r="X43"/>
      <c r="Y43"/>
      <c r="Z43"/>
      <c r="AA43"/>
      <c r="AB43"/>
      <c r="AC43"/>
    </row>
    <row r="45" spans="2:29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</sheetData>
  <mergeCells count="43">
    <mergeCell ref="K2:N2"/>
    <mergeCell ref="O2:Q2"/>
    <mergeCell ref="D2:J2"/>
    <mergeCell ref="C25:E25"/>
    <mergeCell ref="F25:M25"/>
    <mergeCell ref="B2:C2"/>
    <mergeCell ref="B32:O32"/>
    <mergeCell ref="C28:E28"/>
    <mergeCell ref="C26:E26"/>
    <mergeCell ref="C27:E27"/>
    <mergeCell ref="F27:M27"/>
    <mergeCell ref="F26:M26"/>
    <mergeCell ref="F28:M28"/>
    <mergeCell ref="F33:J33"/>
    <mergeCell ref="B37:D37"/>
    <mergeCell ref="B38:D38"/>
    <mergeCell ref="B39:D39"/>
    <mergeCell ref="B40:D40"/>
    <mergeCell ref="B33:D33"/>
    <mergeCell ref="B34:D34"/>
    <mergeCell ref="B35:D35"/>
    <mergeCell ref="B36:D36"/>
    <mergeCell ref="B42:D42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B41:D41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S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19</xdr:col>
                    <xdr:colOff>0</xdr:colOff>
                    <xdr:row>3</xdr:row>
                    <xdr:rowOff>152400</xdr:rowOff>
                  </from>
                  <to>
                    <xdr:col>20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19</xdr:col>
                    <xdr:colOff>276225</xdr:colOff>
                    <xdr:row>3</xdr:row>
                    <xdr:rowOff>190500</xdr:rowOff>
                  </from>
                  <to>
                    <xdr:col>19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19</xdr:col>
                    <xdr:colOff>276225</xdr:colOff>
                    <xdr:row>4</xdr:row>
                    <xdr:rowOff>190500</xdr:rowOff>
                  </from>
                  <to>
                    <xdr:col>19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19</xdr:col>
                    <xdr:colOff>276225</xdr:colOff>
                    <xdr:row>5</xdr:row>
                    <xdr:rowOff>190500</xdr:rowOff>
                  </from>
                  <to>
                    <xdr:col>19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19</xdr:col>
                    <xdr:colOff>276225</xdr:colOff>
                    <xdr:row>6</xdr:row>
                    <xdr:rowOff>180975</xdr:rowOff>
                  </from>
                  <to>
                    <xdr:col>19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19</xdr:col>
                    <xdr:colOff>276225</xdr:colOff>
                    <xdr:row>7</xdr:row>
                    <xdr:rowOff>180975</xdr:rowOff>
                  </from>
                  <to>
                    <xdr:col>19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19</xdr:col>
                    <xdr:colOff>276225</xdr:colOff>
                    <xdr:row>8</xdr:row>
                    <xdr:rowOff>180975</xdr:rowOff>
                  </from>
                  <to>
                    <xdr:col>19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19</xdr:col>
                    <xdr:colOff>276225</xdr:colOff>
                    <xdr:row>9</xdr:row>
                    <xdr:rowOff>180975</xdr:rowOff>
                  </from>
                  <to>
                    <xdr:col>19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19</xdr:col>
                    <xdr:colOff>276225</xdr:colOff>
                    <xdr:row>10</xdr:row>
                    <xdr:rowOff>180975</xdr:rowOff>
                  </from>
                  <to>
                    <xdr:col>19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19</xdr:col>
                    <xdr:colOff>276225</xdr:colOff>
                    <xdr:row>11</xdr:row>
                    <xdr:rowOff>180975</xdr:rowOff>
                  </from>
                  <to>
                    <xdr:col>19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19</xdr:col>
                    <xdr:colOff>276225</xdr:colOff>
                    <xdr:row>12</xdr:row>
                    <xdr:rowOff>180975</xdr:rowOff>
                  </from>
                  <to>
                    <xdr:col>19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1</xdr:col>
                    <xdr:colOff>0</xdr:colOff>
                    <xdr:row>23</xdr:row>
                    <xdr:rowOff>152400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1</xdr:col>
                    <xdr:colOff>285750</xdr:colOff>
                    <xdr:row>24</xdr:row>
                    <xdr:rowOff>180975</xdr:rowOff>
                  </from>
                  <to>
                    <xdr:col>1</xdr:col>
                    <xdr:colOff>590550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1</xdr:col>
                    <xdr:colOff>285750</xdr:colOff>
                    <xdr:row>25</xdr:row>
                    <xdr:rowOff>180975</xdr:rowOff>
                  </from>
                  <to>
                    <xdr:col>1</xdr:col>
                    <xdr:colOff>590550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1</xdr:col>
                    <xdr:colOff>285750</xdr:colOff>
                    <xdr:row>26</xdr:row>
                    <xdr:rowOff>180975</xdr:rowOff>
                  </from>
                  <to>
                    <xdr:col>1</xdr:col>
                    <xdr:colOff>590550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19" t="s">
        <v>270</v>
      </c>
      <c r="B1" s="117"/>
      <c r="C1" s="117"/>
      <c r="D1" s="11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SUM(Waterfall!$J$4:$J$14)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INDEX(Waterfall!$J$4:$J$14,MATCH(1,Waterfall!$B$4:$B$14,0))</f>
        <v>0</v>
      </c>
      <c r="J4" s="13">
        <f>INDEX(Waterfall!$J$4:$J$14,MATCH(2,Waterfall!$B$4:$B$14,0))</f>
        <v>41781.439211589022</v>
      </c>
      <c r="K4" s="13">
        <f>INDEX(Waterfall!$J$4:$J$14,MATCH(3,Waterfall!$B$4:$B$14,0))</f>
        <v>258218.56078841098</v>
      </c>
      <c r="L4" s="13">
        <f>INDEX(Waterfall!$J$4:$J$14,MATCH(4,Waterfall!$B$4:$B$14,0))</f>
        <v>0</v>
      </c>
      <c r="M4" s="13">
        <f>INDEX(Waterfall!$J$4:$J$14,MATCH(5,Waterfall!$B$4:$B$14,0))</f>
        <v>278057.43248614768</v>
      </c>
      <c r="N4" s="13">
        <f>INDEX(Waterfall!$J$4:$J$14,MATCH(6,Waterfall!$B$4:$B$14,0))</f>
        <v>0</v>
      </c>
      <c r="O4" s="13">
        <f>INDEX(Waterfall!$J$4:$J$14,MATCH(7,Waterfall!$B$4:$B$14,0))</f>
        <v>0</v>
      </c>
      <c r="P4" s="13">
        <f>INDEX(Waterfall!$J$4:$J$14,MATCH(8,Waterfall!$B$4:$B$14,0))</f>
        <v>0</v>
      </c>
      <c r="Q4" s="13">
        <f>INDEX(Waterfall!$J$4:$J$14,MATCH(9,Waterfall!$B$4:$B$14,0))</f>
        <v>0</v>
      </c>
      <c r="R4" s="13">
        <f>INDEX(Waterfall!$J$4:$J$14,MATCH(10,Waterfall!$B$4:$B$14,0))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SUM(Waterfall!$N$4:$N$14)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INDEX(Waterfall!$N$4:$N$14,MATCH(1,Waterfall!$B$4:$B$14,0))</f>
        <v>0</v>
      </c>
      <c r="J5" s="13">
        <f>INDEX(Waterfall!$N$4:$N$14,MATCH(2,Waterfall!$B$4:$B$14,0))</f>
        <v>0</v>
      </c>
      <c r="K5" s="13">
        <f>INDEX(Waterfall!$N$4:$N$14,MATCH(3,Waterfall!$B$4:$B$14,0))</f>
        <v>314885.44678405975</v>
      </c>
      <c r="L5" s="13">
        <f>INDEX(Waterfall!$N$4:$N$14,MATCH(4,Waterfall!$B$4:$B$14,0))</f>
        <v>34827.567572470594</v>
      </c>
      <c r="M5" s="13">
        <f>INDEX(Waterfall!$N$4:$N$14,MATCH(5,Waterfall!$B$4:$B$14,0))</f>
        <v>536141.89005558123</v>
      </c>
      <c r="N5" s="13">
        <f>INDEX(Waterfall!$N$4:$N$14,MATCH(6,Waterfall!$B$4:$B$14,0))</f>
        <v>0</v>
      </c>
      <c r="O5" s="13">
        <f>INDEX(Waterfall!$N$4:$N$14,MATCH(7,Waterfall!$B$4:$B$14,0))</f>
        <v>0</v>
      </c>
      <c r="P5" s="13">
        <f>INDEX(Waterfall!$N$4:$N$14,MATCH(8,Waterfall!$B$4:$B$14,0))</f>
        <v>0</v>
      </c>
      <c r="Q5" s="13">
        <f>INDEX(Waterfall!$N$4:$N$14,MATCH(9,Waterfall!$B$4:$B$14,0))</f>
        <v>0</v>
      </c>
      <c r="R5" s="13">
        <f>INDEX(Waterfall!$N$4:$N$14,MATCH(10,Waterfall!$B$4:$B$14,0))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SUM(Waterfall!$Q$4:$Q$14)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INDEX(Waterfall!$Q$4:$Q$14,MATCH(1,Waterfall!$B$4:$B$14,0))</f>
        <v>0</v>
      </c>
      <c r="J6" s="13">
        <f>INDEX(Waterfall!$Q$4:$Q$14,MATCH(2,Waterfall!$B$4:$B$14,0))</f>
        <v>0</v>
      </c>
      <c r="K6" s="13">
        <f>INDEX(Waterfall!$Q$4:$Q$14,MATCH(3,Waterfall!$B$4:$B$14,0))</f>
        <v>0</v>
      </c>
      <c r="L6" s="13">
        <f>INDEX(Waterfall!$Q$4:$Q$14,MATCH(4,Waterfall!$B$4:$B$14,0))</f>
        <v>0</v>
      </c>
      <c r="M6" s="13">
        <f>INDEX(Waterfall!$Q$4:$Q$14,MATCH(5,Waterfall!$B$4:$B$14,0))</f>
        <v>523754.85203518625</v>
      </c>
      <c r="N6" s="13">
        <f>INDEX(Waterfall!$Q$4:$Q$14,MATCH(6,Waterfall!$B$4:$B$14,0))</f>
        <v>0</v>
      </c>
      <c r="O6" s="13">
        <f>INDEX(Waterfall!$Q$4:$Q$14,MATCH(7,Waterfall!$B$4:$B$14,0))</f>
        <v>0</v>
      </c>
      <c r="P6" s="13">
        <f>INDEX(Waterfall!$Q$4:$Q$14,MATCH(8,Waterfall!$B$4:$B$14,0))</f>
        <v>0</v>
      </c>
      <c r="Q6" s="13">
        <f>INDEX(Waterfall!$Q$4:$Q$14,MATCH(9,Waterfall!$B$4:$B$14,0))</f>
        <v>0</v>
      </c>
      <c r="R6" s="13">
        <f>INDEX(Waterfall!$Q$4:$Q$14,MATCH(10,Waterfall!$B$4:$B$14,0))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16" t="s">
        <v>266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64" t="s">
        <v>104</v>
      </c>
      <c r="C2" s="117"/>
      <c r="D2" s="117"/>
    </row>
    <row r="3" spans="1:10" x14ac:dyDescent="0.25">
      <c r="A3" s="13" t="s">
        <v>105</v>
      </c>
      <c r="B3" s="164" t="s">
        <v>106</v>
      </c>
      <c r="C3" s="117"/>
      <c r="D3" s="117"/>
      <c r="E3" s="117"/>
      <c r="F3" s="117"/>
      <c r="G3" s="117"/>
      <c r="H3" s="117"/>
      <c r="I3" s="117"/>
    </row>
    <row r="4" spans="1:10" x14ac:dyDescent="0.25">
      <c r="A4" s="13"/>
      <c r="B4" s="13"/>
      <c r="C4" s="164"/>
      <c r="D4" s="97"/>
      <c r="E4" s="97"/>
      <c r="F4" s="97"/>
      <c r="H4" s="13"/>
    </row>
    <row r="5" spans="1:10" ht="15.75" thickBot="1" x14ac:dyDescent="0.3">
      <c r="A5" s="13"/>
      <c r="B5" s="13"/>
      <c r="C5" s="164"/>
      <c r="D5" s="97"/>
      <c r="E5" s="97"/>
      <c r="F5" s="97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17" t="s">
        <v>160</v>
      </c>
      <c r="C62" s="117"/>
      <c r="D62" s="117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17" t="s">
        <v>164</v>
      </c>
      <c r="D66" s="117"/>
      <c r="E66" s="117"/>
      <c r="F66" s="117"/>
      <c r="G66" s="117"/>
    </row>
    <row r="67" spans="1:7" x14ac:dyDescent="0.25">
      <c r="A67" s="6" t="s">
        <v>165</v>
      </c>
      <c r="B67" s="6" t="s">
        <v>163</v>
      </c>
      <c r="C67" s="117" t="s">
        <v>164</v>
      </c>
      <c r="D67" s="117"/>
      <c r="E67" s="117"/>
      <c r="F67" s="117"/>
      <c r="G67" s="117"/>
    </row>
    <row r="68" spans="1:7" x14ac:dyDescent="0.25">
      <c r="A68" s="6" t="s">
        <v>166</v>
      </c>
      <c r="B68" s="6" t="s">
        <v>163</v>
      </c>
      <c r="C68" s="117" t="s">
        <v>164</v>
      </c>
      <c r="D68" s="117"/>
      <c r="E68" s="117"/>
      <c r="F68" s="117"/>
      <c r="G68" s="117"/>
    </row>
    <row r="69" spans="1:7" x14ac:dyDescent="0.25">
      <c r="A69" s="6" t="s">
        <v>167</v>
      </c>
      <c r="B69" s="6" t="s">
        <v>163</v>
      </c>
      <c r="C69" s="117" t="s">
        <v>164</v>
      </c>
      <c r="D69" s="117"/>
      <c r="E69" s="117"/>
      <c r="F69" s="117"/>
      <c r="G69" s="117"/>
    </row>
    <row r="70" spans="1:7" x14ac:dyDescent="0.25">
      <c r="A70" s="6" t="s">
        <v>168</v>
      </c>
      <c r="B70" s="6" t="s">
        <v>169</v>
      </c>
      <c r="C70" s="117" t="s">
        <v>170</v>
      </c>
      <c r="D70" s="117"/>
      <c r="E70" s="117"/>
      <c r="F70" s="117"/>
      <c r="G70" s="117"/>
    </row>
    <row r="71" spans="1:7" x14ac:dyDescent="0.25">
      <c r="A71" s="6" t="s">
        <v>171</v>
      </c>
      <c r="B71" s="6" t="s">
        <v>163</v>
      </c>
      <c r="C71" s="117" t="s">
        <v>172</v>
      </c>
      <c r="D71" s="117"/>
      <c r="E71" s="117"/>
      <c r="F71" s="117"/>
      <c r="G71" s="117"/>
    </row>
    <row r="72" spans="1:7" x14ac:dyDescent="0.25">
      <c r="A72" s="6" t="s">
        <v>173</v>
      </c>
      <c r="B72" s="6" t="s">
        <v>163</v>
      </c>
      <c r="C72" s="117" t="s">
        <v>174</v>
      </c>
      <c r="D72" s="117"/>
      <c r="E72" s="117"/>
      <c r="F72" s="117"/>
      <c r="G72" s="117"/>
    </row>
    <row r="73" spans="1:7" x14ac:dyDescent="0.25">
      <c r="A73" s="6" t="s">
        <v>175</v>
      </c>
      <c r="B73" s="6" t="s">
        <v>163</v>
      </c>
      <c r="C73" s="117" t="s">
        <v>176</v>
      </c>
      <c r="D73" s="117"/>
      <c r="E73" s="117"/>
      <c r="F73" s="117"/>
      <c r="G73" s="117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17" t="s">
        <v>179</v>
      </c>
      <c r="D76" s="117"/>
      <c r="E76" s="117"/>
      <c r="F76" s="117"/>
      <c r="G76" s="117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17" t="s">
        <v>185</v>
      </c>
      <c r="D81" s="117"/>
      <c r="E81" s="117"/>
      <c r="F81" s="117"/>
      <c r="G81" s="11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2026-05-20T01:32:20Z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