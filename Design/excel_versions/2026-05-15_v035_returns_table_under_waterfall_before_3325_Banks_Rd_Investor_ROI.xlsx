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2666" documentId="13_ncr:1_{0C20EBD6-E2BD-404C-B47C-BDA54182D35E}" xr6:coauthVersionLast="47" xr6:coauthVersionMax="47" xr10:uidLastSave="{4B7B333A-F878-4588-B62B-49509B28C823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SaleExitYear">Assumptions!$B$5</definedName>
    <definedName name="SelectedCostCase">'Cost Analysis'!$E$14</definedName>
    <definedName name="SelectedCostCaseId">'Cost Analysis'!$D$18</definedName>
    <definedName name="SelectedOperatingExpenseRatio">'Operating Expense Budget'!$B$7</definedName>
    <definedName name="SelectedProjectCost">'Cost Analysis'!$D$17</definedName>
    <definedName name="SelectedProjectCostHigh">'Cost Analysis'!$C$17</definedName>
    <definedName name="SelectedProjectCostLow">'Cost Analysis'!$B$17</definedName>
    <definedName name="SelectedScenario">'Cost Analysis'!$C$12</definedName>
    <definedName name="SelectedScenarioId">'Cost Analysis'!$D$19</definedName>
    <definedName name="SelectedUnderwritingCase">'Cost Analysis'!$F$16</definedName>
    <definedName name="SellingCosts">Assumptions!$B$36</definedName>
    <definedName name="SponsorBasis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Analysis'!$D$15</definedName>
    <definedName name="UseSponsorControlledCase">'Cost Analysis'!$D$14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D4" i="3" s="1"/>
  <c r="C4" i="3"/>
  <c r="M14" i="2"/>
  <c r="I13" i="2"/>
  <c r="I12" i="2"/>
  <c r="I11" i="2"/>
  <c r="I10" i="2"/>
  <c r="I9" i="2"/>
  <c r="I8" i="2"/>
  <c r="I7" i="2"/>
  <c r="N5" i="2"/>
  <c r="M5" i="2"/>
  <c r="I5" i="2"/>
  <c r="N4" i="2"/>
  <c r="M4" i="2"/>
  <c r="I4" i="2"/>
  <c r="G4" i="2"/>
  <c r="B8" i="6"/>
  <c r="B27" i="1"/>
  <c r="B10" i="6" s="1"/>
  <c r="B26" i="1"/>
  <c r="B9" i="6" s="1"/>
  <c r="I7" i="6"/>
  <c r="I6" i="6"/>
  <c r="B6" i="6"/>
  <c r="B24" i="1"/>
  <c r="F6" i="6"/>
  <c r="B7" i="6"/>
  <c r="B27" i="7"/>
  <c r="B21" i="7"/>
  <c r="C16" i="6"/>
  <c r="B16" i="6"/>
  <c r="D15" i="6"/>
  <c r="D14" i="6"/>
  <c r="C13" i="6"/>
  <c r="B13" i="6"/>
  <c r="B6" i="4"/>
  <c r="H6" i="4" s="1"/>
  <c r="B4" i="4"/>
  <c r="H4" i="4" s="1"/>
  <c r="D4" i="2"/>
  <c r="C4" i="2"/>
  <c r="B17" i="1"/>
  <c r="C12" i="2" s="1"/>
  <c r="D12" i="2" s="1"/>
  <c r="C32" i="6"/>
  <c r="B32" i="6"/>
  <c r="B14" i="6" s="1"/>
  <c r="C64" i="6"/>
  <c r="B64" i="6"/>
  <c r="C55" i="6"/>
  <c r="B55" i="6"/>
  <c r="C46" i="6"/>
  <c r="B46" i="6"/>
  <c r="B28" i="1" l="1"/>
  <c r="G5" i="2" s="1"/>
  <c r="B15" i="7"/>
  <c r="B36" i="7" s="1"/>
  <c r="B10" i="7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B17" i="6" s="1"/>
  <c r="C14" i="6"/>
  <c r="B11" i="6" l="1"/>
  <c r="B6" i="7"/>
  <c r="B7" i="7" s="1"/>
  <c r="B15" i="1" s="1"/>
  <c r="C17" i="6"/>
  <c r="D17" i="6" s="1"/>
  <c r="D10" i="2"/>
  <c r="D13" i="2"/>
  <c r="D9" i="2"/>
  <c r="D11" i="2"/>
  <c r="D5" i="2"/>
  <c r="B34" i="6" l="1"/>
  <c r="B41" i="1"/>
  <c r="L4" i="3" s="1"/>
  <c r="E12" i="2"/>
  <c r="F12" i="2" s="1"/>
  <c r="N12" i="2" s="1"/>
  <c r="E13" i="2"/>
  <c r="F13" i="2" s="1"/>
  <c r="N13" i="2" s="1"/>
  <c r="E14" i="2"/>
  <c r="F14" i="2" s="1"/>
  <c r="N14" i="2" s="1"/>
  <c r="E10" i="2"/>
  <c r="F10" i="2" s="1"/>
  <c r="N10" i="2" s="1"/>
  <c r="E4" i="2"/>
  <c r="F4" i="2" s="1"/>
  <c r="E7" i="2"/>
  <c r="F7" i="2" s="1"/>
  <c r="N7" i="2" s="1"/>
  <c r="E9" i="2"/>
  <c r="F9" i="2" s="1"/>
  <c r="N9" i="2" s="1"/>
  <c r="E8" i="2"/>
  <c r="F8" i="2" s="1"/>
  <c r="N8" i="2" s="1"/>
  <c r="E6" i="2"/>
  <c r="F6" i="2" s="1"/>
  <c r="N6" i="2" s="1"/>
  <c r="B22" i="6"/>
  <c r="B21" i="6"/>
  <c r="E11" i="2"/>
  <c r="F11" i="2" s="1"/>
  <c r="N11" i="2" s="1"/>
  <c r="E5" i="2"/>
  <c r="F5" i="2" s="1"/>
  <c r="H5" i="2" s="1"/>
  <c r="I14" i="2" l="1"/>
  <c r="H4" i="2"/>
  <c r="J4" i="2" s="1"/>
  <c r="B4" i="3" s="1"/>
  <c r="B30" i="1"/>
  <c r="F7" i="6"/>
  <c r="B5" i="4"/>
  <c r="H5" i="4" s="1"/>
  <c r="E4" i="3" l="1"/>
  <c r="M13" i="2"/>
  <c r="G14" i="2"/>
  <c r="H14" i="2" s="1"/>
  <c r="M12" i="2"/>
  <c r="G13" i="2"/>
  <c r="H13" i="2" s="1"/>
  <c r="M11" i="2"/>
  <c r="G12" i="2"/>
  <c r="H12" i="2" s="1"/>
  <c r="M10" i="2"/>
  <c r="G11" i="2"/>
  <c r="H11" i="2" s="1"/>
  <c r="M9" i="2"/>
  <c r="G10" i="2"/>
  <c r="H10" i="2" s="1"/>
  <c r="M8" i="2"/>
  <c r="G9" i="2"/>
  <c r="H9" i="2" s="1"/>
  <c r="M7" i="2"/>
  <c r="G8" i="2"/>
  <c r="H8" i="2" s="1"/>
  <c r="M6" i="2"/>
  <c r="G7" i="2"/>
  <c r="H7" i="2" s="1"/>
  <c r="G6" i="2"/>
  <c r="H6" i="2" s="1"/>
  <c r="I6" i="2"/>
  <c r="F11" i="6"/>
  <c r="B32" i="1"/>
  <c r="B31" i="1"/>
  <c r="G4" i="3" l="1"/>
  <c r="I4" i="3" s="1"/>
  <c r="H4" i="3"/>
  <c r="C5" i="3" s="1"/>
  <c r="M4" i="3" l="1"/>
  <c r="Q4" i="3" s="1"/>
  <c r="R4" i="3" s="1"/>
  <c r="N4" i="3" l="1"/>
  <c r="L5" i="3" s="1"/>
  <c r="F5" i="3"/>
  <c r="F10" i="6"/>
  <c r="D5" i="3" l="1"/>
  <c r="B35" i="6"/>
  <c r="B36" i="6" s="1"/>
  <c r="F9" i="6"/>
  <c r="B45" i="1"/>
  <c r="B44" i="1"/>
  <c r="O4" i="3" l="1"/>
  <c r="P4" i="3" s="1"/>
  <c r="J4" i="3"/>
  <c r="K4" i="3" s="1"/>
  <c r="K4" i="2" l="1"/>
  <c r="L4" i="2" s="1"/>
  <c r="J5" i="2" s="1"/>
  <c r="B5" i="3" s="1"/>
  <c r="E5" i="3" l="1"/>
  <c r="H5" i="3" l="1"/>
  <c r="C6" i="3" s="1"/>
  <c r="G5" i="3"/>
  <c r="M5" i="3" s="1"/>
  <c r="Q5" i="3" l="1"/>
  <c r="R5" i="3" s="1"/>
  <c r="I6" i="4" s="1"/>
  <c r="O5" i="3"/>
  <c r="P5" i="3" s="1"/>
  <c r="I5" i="4" s="1"/>
  <c r="N5" i="3"/>
  <c r="L6" i="3" s="1"/>
  <c r="I5" i="3"/>
  <c r="F6" i="3" s="1"/>
  <c r="D6" i="3" s="1"/>
  <c r="J5" i="3"/>
  <c r="K5" i="3" s="1"/>
  <c r="I4" i="4" s="1"/>
  <c r="K5" i="2" l="1"/>
  <c r="L5" i="2" s="1"/>
  <c r="J6" i="2" s="1"/>
  <c r="B6" i="3" l="1"/>
  <c r="E6" i="3" l="1"/>
  <c r="H6" i="3" l="1"/>
  <c r="C7" i="3" s="1"/>
  <c r="G6" i="3"/>
  <c r="M6" i="3" l="1"/>
  <c r="Q6" i="3" s="1"/>
  <c r="R6" i="3" s="1"/>
  <c r="J6" i="4" s="1"/>
  <c r="I6" i="3"/>
  <c r="F7" i="3" s="1"/>
  <c r="N6" i="3" l="1"/>
  <c r="L7" i="3" s="1"/>
  <c r="O6" i="3"/>
  <c r="P6" i="3" s="1"/>
  <c r="J5" i="4" s="1"/>
  <c r="J6" i="3"/>
  <c r="K6" i="3" s="1"/>
  <c r="J4" i="4" s="1"/>
  <c r="D7" i="3"/>
  <c r="K6" i="2" l="1"/>
  <c r="L6" i="2" s="1"/>
  <c r="J7" i="2" s="1"/>
  <c r="B7" i="3" s="1"/>
  <c r="E7" i="3" l="1"/>
  <c r="H7" i="3" l="1"/>
  <c r="C8" i="3" s="1"/>
  <c r="G7" i="3"/>
  <c r="I7" i="3" l="1"/>
  <c r="M7" i="3"/>
  <c r="Q7" i="3" s="1"/>
  <c r="R7" i="3" s="1"/>
  <c r="K6" i="4" s="1"/>
  <c r="F8" i="3"/>
  <c r="O7" i="3" l="1"/>
  <c r="P7" i="3" s="1"/>
  <c r="K5" i="4" s="1"/>
  <c r="J7" i="3"/>
  <c r="K7" i="3" s="1"/>
  <c r="K4" i="4" s="1"/>
  <c r="N7" i="3"/>
  <c r="L8" i="3" s="1"/>
  <c r="D8" i="3"/>
  <c r="K7" i="2" l="1"/>
  <c r="L7" i="2" s="1"/>
  <c r="J8" i="2" s="1"/>
  <c r="B8" i="3" s="1"/>
  <c r="E8" i="3" s="1"/>
  <c r="H8" i="3" l="1"/>
  <c r="C9" i="3" s="1"/>
  <c r="G8" i="3"/>
  <c r="M8" i="3" l="1"/>
  <c r="Q8" i="3" s="1"/>
  <c r="R8" i="3" s="1"/>
  <c r="L6" i="4" s="1"/>
  <c r="I8" i="3"/>
  <c r="F9" i="3" s="1"/>
  <c r="D9" i="3" s="1"/>
  <c r="N8" i="3" l="1"/>
  <c r="L9" i="3" s="1"/>
  <c r="O8" i="3"/>
  <c r="J8" i="3"/>
  <c r="K8" i="3" s="1"/>
  <c r="L4" i="4" s="1"/>
  <c r="P8" i="3" l="1"/>
  <c r="L5" i="4" s="1"/>
  <c r="K8" i="2" l="1"/>
  <c r="L8" i="2" s="1"/>
  <c r="J9" i="2" s="1"/>
  <c r="B9" i="3" s="1"/>
  <c r="E9" i="3" s="1"/>
  <c r="H9" i="3" s="1"/>
  <c r="C10" i="3" s="1"/>
  <c r="G9" i="3" l="1"/>
  <c r="I9" i="3" s="1"/>
  <c r="F10" i="3" s="1"/>
  <c r="D10" i="3" s="1"/>
  <c r="M9" i="3" l="1"/>
  <c r="Q9" i="3" s="1"/>
  <c r="R9" i="3" s="1"/>
  <c r="M6" i="4" s="1"/>
  <c r="J9" i="3" l="1"/>
  <c r="K9" i="3" s="1"/>
  <c r="M4" i="4" s="1"/>
  <c r="O9" i="3"/>
  <c r="P9" i="3" s="1"/>
  <c r="M5" i="4" s="1"/>
  <c r="N9" i="3"/>
  <c r="L10" i="3" s="1"/>
  <c r="K9" i="2" l="1"/>
  <c r="L9" i="2" s="1"/>
  <c r="J10" i="2" s="1"/>
  <c r="B10" i="3" s="1"/>
  <c r="E10" i="3" s="1"/>
  <c r="G10" i="3" l="1"/>
  <c r="M10" i="3" s="1"/>
  <c r="H10" i="3"/>
  <c r="C11" i="3" s="1"/>
  <c r="Q10" i="3" l="1"/>
  <c r="R10" i="3" s="1"/>
  <c r="N6" i="4" s="1"/>
  <c r="N10" i="3"/>
  <c r="L11" i="3" s="1"/>
  <c r="O10" i="3"/>
  <c r="P10" i="3" s="1"/>
  <c r="N5" i="4" s="1"/>
  <c r="I10" i="3"/>
  <c r="F11" i="3" s="1"/>
  <c r="D11" i="3" s="1"/>
  <c r="J10" i="3"/>
  <c r="K10" i="3" s="1"/>
  <c r="N4" i="4" s="1"/>
  <c r="K10" i="2" l="1"/>
  <c r="L10" i="2" s="1"/>
  <c r="J11" i="2" s="1"/>
  <c r="B11" i="3" s="1"/>
  <c r="E11" i="3" l="1"/>
  <c r="H11" i="3" s="1"/>
  <c r="C12" i="3" s="1"/>
  <c r="G11" i="3" l="1"/>
  <c r="I11" i="3" l="1"/>
  <c r="F12" i="3" s="1"/>
  <c r="D12" i="3" s="1"/>
  <c r="M11" i="3"/>
  <c r="Q11" i="3" s="1"/>
  <c r="R11" i="3" s="1"/>
  <c r="O6" i="4" s="1"/>
  <c r="O11" i="3" l="1"/>
  <c r="P11" i="3" s="1"/>
  <c r="O5" i="4" s="1"/>
  <c r="J11" i="3"/>
  <c r="K11" i="3" s="1"/>
  <c r="O4" i="4" s="1"/>
  <c r="N11" i="3"/>
  <c r="L12" i="3" s="1"/>
  <c r="K11" i="2" l="1"/>
  <c r="L11" i="2" s="1"/>
  <c r="J12" i="2" s="1"/>
  <c r="B12" i="3" s="1"/>
  <c r="E12" i="3" s="1"/>
  <c r="H12" i="3" l="1"/>
  <c r="C13" i="3" s="1"/>
  <c r="G12" i="3"/>
  <c r="I12" i="3" s="1"/>
  <c r="F13" i="3" s="1"/>
  <c r="M12" i="3" l="1"/>
  <c r="Q12" i="3" s="1"/>
  <c r="R12" i="3" s="1"/>
  <c r="P6" i="4" s="1"/>
  <c r="D13" i="3"/>
  <c r="N12" i="3" l="1"/>
  <c r="L13" i="3" s="1"/>
  <c r="J12" i="3"/>
  <c r="K12" i="3" s="1"/>
  <c r="P4" i="4" s="1"/>
  <c r="O12" i="3"/>
  <c r="P12" i="3" s="1"/>
  <c r="P5" i="4" s="1"/>
  <c r="K12" i="2" l="1"/>
  <c r="L12" i="2" s="1"/>
  <c r="J13" i="2" s="1"/>
  <c r="B13" i="3" s="1"/>
  <c r="E13" i="3" s="1"/>
  <c r="H13" i="3" l="1"/>
  <c r="C14" i="3" s="1"/>
  <c r="G13" i="3"/>
  <c r="I13" i="3" s="1"/>
  <c r="M13" i="3" l="1"/>
  <c r="Q13" i="3" s="1"/>
  <c r="R13" i="3" s="1"/>
  <c r="Q6" i="4" s="1"/>
  <c r="F14" i="3"/>
  <c r="O13" i="3" l="1"/>
  <c r="P13" i="3" s="1"/>
  <c r="Q5" i="4" s="1"/>
  <c r="N13" i="3"/>
  <c r="L14" i="3" s="1"/>
  <c r="J13" i="3"/>
  <c r="K13" i="3" s="1"/>
  <c r="Q4" i="4" s="1"/>
  <c r="D14" i="3"/>
  <c r="K13" i="2" l="1"/>
  <c r="L13" i="2" s="1"/>
  <c r="J14" i="2" s="1"/>
  <c r="B14" i="3" s="1"/>
  <c r="E14" i="3" s="1"/>
  <c r="G14" i="3" l="1"/>
  <c r="I14" i="3" s="1"/>
  <c r="H14" i="3"/>
  <c r="M14" i="3" l="1"/>
  <c r="Q14" i="3" s="1"/>
  <c r="R14" i="3" s="1"/>
  <c r="C6" i="4" l="1"/>
  <c r="R6" i="4"/>
  <c r="O14" i="3"/>
  <c r="P14" i="3" s="1"/>
  <c r="N14" i="3"/>
  <c r="J14" i="3"/>
  <c r="K14" i="3" s="1"/>
  <c r="R4" i="4" s="1"/>
  <c r="C5" i="4" l="1"/>
  <c r="D5" i="4" s="1"/>
  <c r="F5" i="4" s="1"/>
  <c r="R5" i="4"/>
  <c r="K14" i="2"/>
  <c r="L14" i="2" s="1"/>
  <c r="C4" i="4"/>
  <c r="E4" i="4" s="1"/>
  <c r="G5" i="4"/>
  <c r="G6" i="4"/>
  <c r="G4" i="4"/>
  <c r="E5" i="4" l="1"/>
  <c r="D4" i="4"/>
  <c r="F4" i="4" s="1"/>
  <c r="D6" i="4"/>
  <c r="F6" i="4" s="1"/>
  <c r="E6" i="4"/>
</calcChain>
</file>

<file path=xl/sharedStrings.xml><?xml version="1.0" encoding="utf-8"?>
<sst xmlns="http://schemas.openxmlformats.org/spreadsheetml/2006/main" count="373" uniqueCount="333">
  <si>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</si>
  <si>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</si>
  <si>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</si>
  <si>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</si>
  <si>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</si>
  <si>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</si>
  <si>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</si>
  <si>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</si>
  <si>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</si>
  <si>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</si>
  <si>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</si>
  <si>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</si>
  <si>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</si>
  <si>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</si>
  <si>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</si>
  <si>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</si>
  <si>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</si>
  <si>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</si>
  <si>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</si>
  <si>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</si>
  <si>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</si>
  <si>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</si>
  <si>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</si>
  <si>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</si>
  <si>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</si>
  <si>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Stabilized Monthly Gross Rent</t>
  </si>
  <si>
    <t>Calculated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</si>
  <si>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</si>
  <si>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</si>
  <si>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</si>
  <si>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</si>
  <si>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</si>
  <si>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</si>
  <si>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</si>
  <si>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</si>
  <si>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</si>
  <si>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</si>
  <si>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</si>
  <si>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</si>
  <si>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</si>
  <si>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</si>
  <si>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</si>
  <si>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</si>
  <si>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</si>
  <si>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</si>
  <si>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</si>
  <si>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</si>
  <si>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</si>
  <si>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</si>
  <si>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</si>
  <si>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</si>
  <si>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</si>
  <si>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</si>
  <si>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</si>
  <si>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</si>
  <si>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</si>
  <si>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</si>
  <si>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Sponsor Basis / Deemed Investment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</si>
  <si>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</si>
  <si>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</si>
  <si>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</si>
  <si>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</si>
  <si>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</si>
  <si>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</si>
  <si>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</si>
  <si>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</si>
  <si>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</si>
  <si>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</si>
  <si>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</si>
  <si>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</si>
  <si>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</si>
  <si>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</si>
  <si>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</si>
  <si>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</si>
  <si>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</si>
  <si>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</si>
  <si>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</si>
  <si>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</si>
  <si>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</si>
  <si>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</si>
  <si>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</si>
  <si>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</si>
  <si>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</si>
  <si>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</si>
  <si>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</si>
  <si>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</si>
  <si>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</si>
  <si>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</si>
  <si>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</si>
  <si>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</si>
  <si>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</si>
  <si>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</si>
  <si>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</si>
  <si>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</si>
  <si>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</si>
  <si>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</si>
  <si>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</si>
  <si>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</si>
  <si>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</si>
  <si>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</si>
  <si>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</si>
  <si>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</si>
  <si>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</si>
  <si>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</si>
  <si>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</si>
  <si>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</si>
  <si>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</si>
  <si>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</si>
  <si>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</si>
  <si>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</si>
  <si>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</si>
  <si>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</si>
  <si>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</si>
  <si>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</si>
  <si>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</si>
  <si>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/ Refinance Assumptions</t>
  </si>
  <si>
    <t>Amount</t>
  </si>
  <si>
    <t>Notes</t>
  </si>
  <si>
    <t>Member Capital Source</t>
  </si>
  <si>
    <t>Class A capital</t>
  </si>
  <si>
    <t>Preferred member capital</t>
  </si>
  <si>
    <t>Private debt principal</t>
  </si>
  <si>
    <t>Existing private debt; 10% interest-only before payoff</t>
  </si>
  <si>
    <t>Class B capital</t>
  </si>
  <si>
    <t>Completion capital after Class A</t>
  </si>
  <si>
    <t>Development/construction loan</t>
  </si>
  <si>
    <t>No project loan before stabilization refinance</t>
  </si>
  <si>
    <t>Refinance loan amount</t>
  </si>
  <si>
    <t>Only new loan; takeout/refinance only</t>
  </si>
  <si>
    <t>Refi after existing debt</t>
  </si>
  <si>
    <t>Flows to Class A first through waterfall</t>
  </si>
  <si>
    <t>Refi remaining after debt + Class A</t>
  </si>
  <si>
    <t>Indicative amount available to Class B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</si>
  <si>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</si>
  <si>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</si>
  <si>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</si>
  <si>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</si>
  <si>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</si>
  <si>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</si>
  <si>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</si>
  <si>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Underwriting Case For Capitalization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</si>
  <si>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</si>
  <si>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</si>
  <si>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</si>
  <si>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</si>
  <si>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</si>
  <si>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</si>
  <si>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</si>
  <si>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</si>
  <si>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</si>
  <si>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</si>
  <si>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</si>
  <si>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</si>
  <si>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</si>
  <si>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</si>
  <si>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</si>
  <si>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</si>
  <si>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</si>
  <si>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</si>
  <si>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</si>
  <si>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</si>
  <si>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</si>
  <si>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</si>
  <si>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</si>
  <si>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</si>
  <si>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</si>
  <si>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</si>
  <si>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</si>
  <si>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</si>
  <si>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</si>
  <si>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</si>
  <si>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</si>
  <si>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</si>
  <si>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</si>
  <si>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</si>
  <si>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</si>
  <si>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</si>
  <si>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</si>
  <si>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</si>
  <si>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</si>
  <si>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</si>
  <si>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</si>
  <si>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</si>
  <si>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</si>
  <si>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</si>
  <si>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</si>
  <si>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</si>
  <si>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</si>
  <si>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</si>
  <si>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</si>
  <si>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</si>
  <si>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</si>
  <si>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</si>
  <si>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</si>
  <si>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</si>
  <si>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</si>
  <si>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</si>
  <si>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</si>
  <si>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</si>
  <si>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</si>
  <si>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</si>
  <si>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</si>
  <si>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</si>
  <si>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</si>
  <si>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</si>
  <si>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</si>
  <si>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</si>
  <si>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</si>
  <si>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</si>
  <si>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</si>
  <si>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</si>
  <si>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</si>
  <si>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</si>
  <si>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</si>
  <si>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</si>
  <si>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</si>
  <si>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</si>
  <si>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</si>
  <si>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</si>
  <si>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</si>
  <si>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</si>
  <si>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</si>
  <si>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</si>
  <si>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</si>
  <si>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</si>
  <si>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</si>
  <si>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</si>
  <si>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</si>
  <si>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</si>
  <si>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</si>
  <si>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</si>
  <si>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</si>
  <si>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</si>
  <si>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</si>
  <si>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</si>
  <si>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</si>
  <si>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</si>
  <si>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</si>
  <si>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</si>
  <si>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</si>
  <si>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</si>
  <si>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</si>
  <si>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</si>
  <si>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</si>
  <si>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</si>
  <si>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</si>
  <si>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</si>
  <si>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</si>
  <si>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</si>
  <si>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</si>
  <si>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</si>
  <si>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</si>
  <si>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</si>
  <si>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</si>
  <si>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</si>
  <si>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</si>
  <si>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</si>
  <si>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</si>
  <si>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</si>
  <si>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</si>
  <si>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</si>
  <si>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</si>
  <si>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</si>
  <si>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</si>
  <si>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</si>
  <si>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</si>
  <si>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</si>
  <si>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</si>
  <si>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</si>
  <si>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</si>
  <si>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</si>
  <si>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</si>
  <si>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</si>
  <si>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</si>
  <si>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</si>
  <si>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</si>
  <si>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</si>
  <si>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</si>
  <si>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</si>
  <si>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</si>
  <si>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</si>
  <si>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Existing first mortgage principal</t>
  </si>
  <si>
    <t>Existing debt principal; paid from refinance proceeds</t>
  </si>
  <si>
    <t>Existing Debt Rate</t>
  </si>
  <si>
    <t>First mortgage rate</t>
  </si>
  <si>
    <t>Private debt rate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</si>
  <si>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</si>
  <si>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</si>
  <si>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</si>
  <si>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</si>
  <si>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Private debt annual interest payment</t>
  </si>
  <si>
    <t>10% interest-only private debt payment</t>
  </si>
  <si>
    <t>Total existing annual debt service</t>
  </si>
  <si>
    <t>Modeled before stabilization refinance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</si>
  <si>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</si>
  <si>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</si>
  <si>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</si>
  <si>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</si>
  <si>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</si>
  <si>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</si>
  <si>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</si>
  <si>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</si>
  <si>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First mortgage monthly P&amp;I excl. escrow</t>
  </si>
  <si>
    <t>Actual monthly principal and interest; taxes and insurance stay in operating expenses</t>
  </si>
  <si>
    <t>First mortgage annual P&amp;I excl. escrow</t>
  </si>
  <si>
    <t>Annual principal and interest; excludes escrow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</si>
  <si>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</si>
  <si>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</si>
  <si>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</si>
  <si>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</si>
  <si>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</si>
  <si>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</si>
  <si>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</si>
  <si>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Land/control/origination value used for sponsor ROI; not used to calculate residual split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</si>
  <si>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</si>
  <si>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</si>
  <si>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</si>
  <si>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Beg. Pref Accrued</t>
  </si>
  <si>
    <t>A Pref Accrued</t>
  </si>
  <si>
    <t>A Pref Paid</t>
  </si>
  <si>
    <t>A Beg. Capital</t>
  </si>
  <si>
    <t>A Capital Returned</t>
  </si>
  <si>
    <t>A End Accrued Pref</t>
  </si>
  <si>
    <t>A End Capital</t>
  </si>
  <si>
    <t>A Residual</t>
  </si>
  <si>
    <t>A Total Dist.</t>
  </si>
  <si>
    <t>B Beg. Capital</t>
  </si>
  <si>
    <t>B Capital Returned</t>
  </si>
  <si>
    <t>B End Capital</t>
  </si>
  <si>
    <t>B Residual</t>
  </si>
  <si>
    <t>B Total Dist.</t>
  </si>
  <si>
    <t xml:space="preserve"> Residual</t>
  </si>
  <si>
    <t>Total Dist.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</si>
</sst>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3" fontId="3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0" fontId="0" fillId="4" borderId="1" xfId="0" applyFill="1" applyBorder="1" applyAlignment="1">
      <alignment horizontal="center" wrapText="1"/>
    </xf>
    <xf numFmtId="3" fontId="3" fillId="2" borderId="5" xfId="0" applyNumberFormat="1" applyFont="1" applyFill="1" applyBorder="1" applyAlignment="1">
      <alignment horizontal="center" wrapText="1"/>
    </xf>
    <xf numFmtId="3" fontId="3" fillId="4" borderId="5" xfId="0" applyNumberFormat="1" applyFont="1" applyFill="1" applyBorder="1" applyAlignment="1">
      <alignment horizontal="center" wrapText="1"/>
    </xf>
    <xf numFmtId="3" fontId="3" fillId="5" borderId="5" xfId="0" applyNumberFormat="1" applyFont="1" applyFill="1" applyBorder="1" applyAlignment="1">
      <alignment horizontal="center" wrapText="1"/>
    </xf>
    <xf numFmtId="3" fontId="5" fillId="0" borderId="0" xfId="0" applyNumberFormat="1" applyFont="1"/>
    <xf numFmtId="0" fontId="4" fillId="0" borderId="0" xfId="0" applyFont="1"/>
    <xf numFmtId="3" fontId="6" fillId="0" borderId="0" xfId="0" applyNumberFormat="1" applyFont="1"/>
    <xf numFmtId="0" fontId="0" fillId="0" borderId="0" xfId="0"/>
    <xf numFmtId="3" fontId="3" fillId="4" borderId="1" xfId="0" applyNumberFormat="1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39" dataDxfId="37" headerRowBorderDxfId="38" tableBorderDxfId="36">
  <autoFilter ref="A3:N14" xr:uid="{31008567-CFA1-42A9-9327-0B98502CA80D}"/>
  <tableColumns count="14">
    <tableColumn id="1" xr3:uid="{26936D8D-49BB-4E72-8714-F0F4A39544E1}" name="Year" dataDxfId="35"/>
    <tableColumn id="2" xr3:uid="{C01BD3A8-84A3-4936-AD75-B10875A3A516}" name="Phase" dataDxfId="34"/>
    <tableColumn id="3" xr3:uid="{C3EFC4B8-12CA-4DCA-8610-6334A06443D6}" name="Gross Potential Rent" dataDxfId="33">
      <calculatedColumnFormula>IF(A4=0,0,StabilizedMonthlyGrossRent*12*(1+NOIGrowth)^MAX(0,A4-StabilizationRefiYear))</calculatedColumnFormula>
    </tableColumn>
    <tableColumn id="4" xr3:uid="{A38FFCD2-F44E-495B-8D1F-57AADF574C32}" name="Effective Gross Income" dataDxfId="32">
      <calculatedColumnFormula>IF(A4=0,0,C4*IF(A4=1,LeaseUpOccupancy,StabilizedOccupancy))</calculatedColumnFormula>
    </tableColumn>
    <tableColumn id="5" xr3:uid="{B76742F3-2204-4523-9F15-8E1C72B7BD6E}" name="Operating Expenses" dataDxfId="31">
      <calculatedColumnFormula>D4*OperatingExpenseRatio</calculatedColumnFormula>
    </tableColumn>
    <tableColumn id="6" xr3:uid="{3F74AC57-500F-402C-9765-78D18626B1BE}" name="NOI" dataDxfId="30">
      <calculatedColumnFormula>D4-E4</calculatedColumnFormula>
    </tableColumn>
    <tableColumn id="7" xr3:uid="{56511279-406D-4252-A9A7-9170D8B87E55}" name="Debt Service" dataDxfId="29">
      <calculatedColumnFormula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calculatedColumnFormula>
    </tableColumn>
    <tableColumn id="8" xr3:uid="{85CA9091-DF20-4851-AE5C-AC9F4814BFC4}" name="Current Year Cash Before Refi/Sale" dataDxfId="28">
      <calculatedColumnFormula>AnnualModelTable[[#This Row],[NOI]]-AnnualModelTable[[#This Row],[Debt Service]]</calculatedColumnFormula>
    </tableColumn>
    <tableColumn id="9" xr3:uid="{AC4642EC-E8F2-497F-99FB-4D7BE675DEA1}" name="Net Refi/Sale Proceeds" dataDxfId="27">
      <calculatedColumnFormula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calculatedColumnFormula>
    </tableColumn>
    <tableColumn id="10" xr3:uid="{41C03F4E-590B-4413-AE34-F5DCDD021866}" name="Cash Available Before Distributions" dataDxfId="26">
      <calculatedColumnFormula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calculatedColumnFormula>
    </tableColumn>
    <tableColumn id="11" xr3:uid="{7B037DCE-ABE4-4D66-9712-F5EE68757C28}" name="Waterfall Distributions" dataDxfId="25">
      <calculatedColumnFormula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calculatedColumnFormula>
    </tableColumn>
    <tableColumn id="12" xr3:uid="{C063648E-2927-4081-81E6-EDE453D6AD02}" name="Ending Cash Balance" dataDxfId="24">
      <calculatedColumnFormula>MAX(0,AnnualModelTable[[#This Row],[Cash Available Before Distributions]]-AnnualModelTable[[#This Row],[Waterfall Distributions]])</calculatedColumnFormula>
    </tableColumn>
    <tableColumn id="13" xr3:uid="{886020E1-9E83-41F1-AABD-505FED4CBF84}" name="Loan Balance" dataDxfId="23">
      <calculatedColumnFormula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calculatedColumnFormula>
    </tableColumn>
    <tableColumn id="14" xr3:uid="{9167BA97-D22D-457E-899B-578D63A57A80}" name="Property Value / Refi Value" dataDxfId="22">
      <calculatedColumnFormula>IF(AnnualModelTable[[#This Row],[Year]]&lt;StabilizationRefiYear,0,AnnualModelTable[[#This Row],[NOI]]*(1+NOIGrowth)/ExitCapRate)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8B5298-363F-44EA-A296-D729B0CDEF56}" name="WaterfallTable" displayName="WaterfallTable" ref="A3:R14" totalsRowShown="0" headerRowDxfId="21" dataDxfId="19" headerRowBorderDxfId="20" tableBorderDxfId="18">
  <tableColumns count="18">
    <tableColumn id="1" xr3:uid="{F7A67276-8098-4476-A7D6-41330FCC7F5A}" name="Year" dataDxfId="17"/>
    <tableColumn id="2" xr3:uid="{8C2EEAEE-B9AE-4D8E-8D7D-D2BAF70A84E3}" name="Cash Available" dataDxfId="16">
      <calculatedColumnFormula>INDEX(AnnualModelTable[Cash Available Before Distributions],MATCH(WaterfallTable[[#This Row],[Year]],AnnualModelTable[Year],0))</calculatedColumnFormula>
    </tableColumn>
    <tableColumn id="3" xr3:uid="{3AB32FC6-8139-4FB1-9537-699B4D50FF69}" name="A Beg. Pref Accrued" dataDxfId="15">
      <calculatedColumnFormula>IF(WaterfallTable[[#This Row],[Year]]=0,0,INDEX(WaterfallTable[A End Accrued Pref],MATCH(WaterfallTable[[#This Row],[Year]]-1,WaterfallTable[Year],0)))</calculatedColumnFormula>
    </tableColumn>
    <tableColumn id="4" xr3:uid="{4C7C01BB-365D-470A-B7F9-038BD03E1676}" name="A Pref Accrued" dataDxfId="14">
      <calculatedColumnFormula>WaterfallTable[[#This Row],[A Beg. Capital]]*ClassAPreferredReturn</calculatedColumnFormula>
    </tableColumn>
    <tableColumn id="5" xr3:uid="{84C2CCBD-4940-4696-B340-5EF40D61B4A0}" name="A Pref Paid" dataDxfId="13">
      <calculatedColumnFormula>MIN(WaterfallTable[[#This Row],[Cash Available]],WaterfallTable[[#This Row],[A Beg. Pref Accrued]]+WaterfallTable[[#This Row],[A Pref Accrued]])</calculatedColumnFormula>
    </tableColumn>
    <tableColumn id="6" xr3:uid="{0FABE01C-A39D-46BD-A76F-448BCC3D068D}" name="A Beg. Capital" dataDxfId="12">
      <calculatedColumnFormula>IF(WaterfallTable[[#This Row],[Year]]=0,ClassACapital,INDEX(WaterfallTable[A End Capital],MATCH(WaterfallTable[[#This Row],[Year]]-1,WaterfallTable[Year],0)))</calculatedColumnFormula>
    </tableColumn>
    <tableColumn id="7" xr3:uid="{8C5E0A33-3380-458B-82A8-F710914087DA}" name="A Capital Returned" dataDxfId="11">
      <calculatedColumnFormula>MIN(MAX(0,WaterfallTable[[#This Row],[Cash Available]]-WaterfallTable[[#This Row],[A Pref Paid]]),WaterfallTable[[#This Row],[A Beg. Capital]])</calculatedColumnFormula>
    </tableColumn>
    <tableColumn id="8" xr3:uid="{5B4DED70-D892-428E-8483-E50916F5D1E7}" name="A End Accrued Pref" dataDxfId="10">
      <calculatedColumnFormula>WaterfallTable[[#This Row],[A Beg. Pref Accrued]]+WaterfallTable[[#This Row],[A Pref Accrued]]-WaterfallTable[[#This Row],[A Pref Paid]]</calculatedColumnFormula>
    </tableColumn>
    <tableColumn id="9" xr3:uid="{3E75397C-E377-48F9-B7D5-865FEF436F9D}" name="A End Capital" dataDxfId="9">
      <calculatedColumnFormula>WaterfallTable[[#This Row],[A Beg. Capital]]-WaterfallTable[[#This Row],[A Capital Returned]]</calculatedColumnFormula>
    </tableColumn>
    <tableColumn id="11" xr3:uid="{898DC266-B99A-4B03-BDE7-ECAFB93BF72D}" name="A Residual" dataDxfId="8">
      <calculatedColumnFormula>MAX(0,WaterfallTable[[#This Row],[Cash Available]]-WaterfallTable[[#This Row],[A Pref Paid]]-WaterfallTable[[#This Row],[A Capital Returned]]-WaterfallTable[[#This Row],[B Capital Returned]])*ClassAResidualShare</calculatedColumnFormula>
    </tableColumn>
    <tableColumn id="12" xr3:uid="{1ECBC13C-94C6-4AA0-BE6D-1BC4E3A4954A}" name="A Total Dist." dataDxfId="7">
      <calculatedColumnFormula>WaterfallTable[[#This Row],[A Pref Paid]]+WaterfallTable[[#This Row],[A Capital Returned]]+WaterfallTable[[#This Row],[A Residual]]</calculatedColumnFormula>
    </tableColumn>
    <tableColumn id="13" xr3:uid="{FE357F4C-9193-4D8F-B47D-160DC5116DE2}" name="B Beg. Capital" dataDxfId="6">
      <calculatedColumnFormula>IF(WaterfallTable[[#This Row],[Year]]=0,ClassBCapital,INDEX(WaterfallTable[B End Capital],MATCH(WaterfallTable[[#This Row],[Year]]-1,WaterfallTable[Year],0)))</calculatedColumnFormula>
    </tableColumn>
    <tableColumn id="14" xr3:uid="{020BCAC0-11CF-4D24-9985-9FF35ADBA97A}" name="B Capital Returned" dataDxfId="5">
      <calculatedColumnFormula>IF(ClassBReturnPriority=1,MIN(MAX(0,WaterfallTable[[#This Row],[Cash Available]]-WaterfallTable[[#This Row],[A Pref Paid]]-WaterfallTable[[#This Row],[A Capital Returned]]),WaterfallTable[[#This Row],[B Beg. Capital]]),0)</calculatedColumnFormula>
    </tableColumn>
    <tableColumn id="15" xr3:uid="{0B50CA03-B600-4AD8-8422-2AAF0F787AFA}" name="B End Capital" dataDxfId="4">
      <calculatedColumnFormula>WaterfallTable[[#This Row],[B Beg. Capital]]-WaterfallTable[[#This Row],[B Capital Returned]]</calculatedColumnFormula>
    </tableColumn>
    <tableColumn id="16" xr3:uid="{1E466E40-9D0C-4592-B5A3-9493B8D291CE}" name="B Residual" dataDxfId="3">
      <calculatedColumnFormula>MAX(0,WaterfallTable[[#This Row],[Cash Available]]-WaterfallTable[[#This Row],[A Pref Paid]]-WaterfallTable[[#This Row],[A Capital Returned]]-WaterfallTable[[#This Row],[B Capital Returned]])*ClassBResidualShare</calculatedColumnFormula>
    </tableColumn>
    <tableColumn id="17" xr3:uid="{69FCBCA6-1C08-4C00-86F1-5A396BA01CA0}" name="B Total Dist." dataDxfId="2">
      <calculatedColumnFormula>WaterfallTable[[#This Row],[B Capital Returned]]+WaterfallTable[[#This Row],[B Residual]]</calculatedColumnFormula>
    </tableColumn>
    <tableColumn id="18" xr3:uid="{7BA39CDF-327F-47DD-B08A-F80CC44DD0C4}" name=" Residual" dataDxfId="1">
      <calculatedColumnFormula>MAX(0,WaterfallTable[[#This Row],[Cash Available]]-WaterfallTable[[#This Row],[A Pref Paid]]-WaterfallTable[[#This Row],[A Capital Returned]]-WaterfallTable[[#This Row],[B Capital Returned]])*SponsorResidualShare</calculatedColumnFormula>
    </tableColumn>
    <tableColumn id="19" xr3:uid="{521FE1E7-9DC2-4F52-8390-C04B10073172}" name="Total Dist." dataDxfId="0">
      <calculatedColumnFormula>WaterfallTable[[#This Row],[ Residual]]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opLeftCell="A18" workbookViewId="0">
      <selection activeCell="B44" sqref="B44"/>
    </sheetView>
  </sheetViews>
  <sheetFormatPr defaultRowHeight="15" x14ac:dyDescent="0.25"/>
  <cols>
    <col min="1" max="1" width="47" style="6" bestFit="1" customWidth="1"/>
    <col min="2" max="2" width="7.5703125" style="6" bestFit="1" customWidth="1"/>
    <col min="3" max="3" width="80.42578125" style="6" bestFit="1" customWidth="1"/>
    <col min="4" max="16384" width="9.140625" style="6"/>
  </cols>
  <sheetData>
    <row r="1" spans="1:3" ht="18.75" x14ac:dyDescent="0.3">
      <c r="A1" s="22" t="s">
        <v>0</v>
      </c>
      <c r="B1" s="13"/>
      <c r="C1" s="20" t="s">
        <v>1</v>
      </c>
    </row>
    <row r="2" spans="1:3" x14ac:dyDescent="0.25">
      <c r="A2" s="13"/>
      <c r="B2" s="13"/>
      <c r="C2" s="13"/>
    </row>
    <row r="3" spans="1:3" x14ac:dyDescent="0.25">
      <c r="A3" s="23" t="s">
        <v>2</v>
      </c>
      <c r="B3" s="13"/>
      <c r="C3" s="13"/>
    </row>
    <row r="4" spans="1:3" x14ac:dyDescent="0.25">
      <c r="A4" s="13" t="s">
        <v>3</v>
      </c>
      <c r="B4" s="15">
        <v>2</v>
      </c>
      <c r="C4" s="20" t="s">
        <v>4</v>
      </c>
    </row>
    <row r="5" spans="1:3" x14ac:dyDescent="0.25">
      <c r="A5" s="13" t="s">
        <v>5</v>
      </c>
      <c r="B5" s="15">
        <v>10</v>
      </c>
      <c r="C5" s="20" t="s">
        <v>6</v>
      </c>
    </row>
    <row r="6" spans="1:3" x14ac:dyDescent="0.25">
      <c r="A6" s="13"/>
      <c r="B6" s="13"/>
      <c r="C6" s="13"/>
    </row>
    <row r="7" spans="1:3" x14ac:dyDescent="0.25">
      <c r="A7" s="23" t="s">
        <v>7</v>
      </c>
      <c r="B7" s="13"/>
      <c r="C7" s="13"/>
    </row>
    <row r="8" spans="1:3" x14ac:dyDescent="0.25">
      <c r="A8" s="13" t="s">
        <v>8</v>
      </c>
      <c r="B8" s="15">
        <v>4</v>
      </c>
      <c r="C8" s="20" t="s">
        <v>9</v>
      </c>
    </row>
    <row r="9" spans="1:3" x14ac:dyDescent="0.25">
      <c r="A9" s="13" t="s">
        <v>10</v>
      </c>
      <c r="B9" s="13">
        <v>1600</v>
      </c>
      <c r="C9" s="20" t="s">
        <v>11</v>
      </c>
    </row>
    <row r="10" spans="1:3" x14ac:dyDescent="0.25">
      <c r="A10" s="13" t="s">
        <v>12</v>
      </c>
      <c r="B10" s="15">
        <v>4</v>
      </c>
      <c r="C10" s="20" t="s">
        <v>13</v>
      </c>
    </row>
    <row r="11" spans="1:3" x14ac:dyDescent="0.25">
      <c r="A11" s="13" t="s">
        <v>14</v>
      </c>
      <c r="B11" s="13">
        <v>1100</v>
      </c>
      <c r="C11" s="20" t="s">
        <v>11</v>
      </c>
    </row>
    <row r="12" spans="1:3" x14ac:dyDescent="0.25">
      <c r="A12" s="13" t="s">
        <v>15</v>
      </c>
      <c r="B12" s="13">
        <v>0</v>
      </c>
      <c r="C12" s="20" t="s">
        <v>16</v>
      </c>
    </row>
    <row r="13" spans="1:3" x14ac:dyDescent="0.25">
      <c r="A13" s="13" t="s">
        <v>17</v>
      </c>
      <c r="B13" s="24">
        <v>0.93</v>
      </c>
      <c r="C13" s="20" t="s">
        <v>18</v>
      </c>
    </row>
    <row r="14" spans="1:3" x14ac:dyDescent="0.25">
      <c r="A14" s="13" t="s">
        <v>19</v>
      </c>
      <c r="B14" s="24">
        <v>0.5</v>
      </c>
      <c r="C14" s="20" t="s">
        <v>20</v>
      </c>
    </row>
    <row r="15" spans="1:3" x14ac:dyDescent="0.25">
      <c r="A15" s="13" t="s">
        <v>21</v>
      </c>
      <c r="B15" s="24">
        <f>SelectedOperatingExpenseRatio</f>
        <v>0.4</v>
      </c>
      <c r="C15" s="20" t="s">
        <v>22</v>
      </c>
    </row>
    <row r="16" spans="1:3" x14ac:dyDescent="0.25">
      <c r="A16" s="13" t="s">
        <v>23</v>
      </c>
      <c r="B16" s="24">
        <v>0.03</v>
      </c>
      <c r="C16" s="20" t="s">
        <v>24</v>
      </c>
    </row>
    <row r="17" spans="1:3" x14ac:dyDescent="0.25">
      <c r="A17" s="13" t="s">
        <v>25</v>
      </c>
      <c r="B17" s="13">
        <f>PremiumSuites*PremiumSuiteRent+CoLivingSuites*CoLivingSuiteRent+OtherMonthlyIncome</f>
        <v>10800</v>
      </c>
      <c r="C17" s="20" t="s">
        <v>26</v>
      </c>
    </row>
    <row r="18" spans="1:3" x14ac:dyDescent="0.25">
      <c r="A18" s="13"/>
      <c r="B18" s="13"/>
      <c r="C18" s="13"/>
    </row>
    <row r="19" spans="1:3" x14ac:dyDescent="0.25">
      <c r="A19" s="23" t="s">
        <v>27</v>
      </c>
      <c r="B19" s="13"/>
      <c r="C19" s="13"/>
    </row>
    <row r="20" spans="1:3" x14ac:dyDescent="0.25">
      <c r="A20" s="13" t="s">
        <v>276</v>
      </c>
      <c r="B20" s="13">
        <v>119000</v>
      </c>
      <c r="C20" s="20" t="s">
        <v>277</v>
      </c>
    </row>
    <row r="21" spans="1:3" x14ac:dyDescent="0.25">
      <c r="A21" s="13" t="s">
        <v>278</v>
      </c>
      <c r="B21" s="27">
        <v>3.2500000000000001E-2</v>
      </c>
      <c r="C21" s="20" t="s">
        <v>279</v>
      </c>
    </row>
    <row r="22" spans="1:3" x14ac:dyDescent="0.25">
      <c r="A22" s="13" t="s">
        <v>28</v>
      </c>
      <c r="B22" s="13">
        <v>75000</v>
      </c>
      <c r="C22" s="20" t="s">
        <v>29</v>
      </c>
    </row>
    <row r="23" spans="1:3" x14ac:dyDescent="0.25">
      <c r="A23" s="13" t="s">
        <v>30</v>
      </c>
      <c r="B23" s="27">
        <v>0.1</v>
      </c>
      <c r="C23" s="20" t="s">
        <v>31</v>
      </c>
    </row>
    <row r="24" spans="1:3" x14ac:dyDescent="0.25">
      <c r="A24" s="13" t="s">
        <v>32</v>
      </c>
      <c r="B24" s="13">
        <f>_xlfn.SINGLE(ExistingFirstMortgagePrincipal)+PrivateDebtPrincipal</f>
        <v>194000</v>
      </c>
      <c r="C24" s="20" t="s">
        <v>280</v>
      </c>
    </row>
    <row r="25" spans="1:3" x14ac:dyDescent="0.25">
      <c r="A25" s="13" t="s">
        <v>294</v>
      </c>
      <c r="B25" s="13">
        <v>526</v>
      </c>
      <c r="C25" s="20" t="s">
        <v>295</v>
      </c>
    </row>
    <row r="26" spans="1:3" x14ac:dyDescent="0.25">
      <c r="A26" s="13" t="s">
        <v>296</v>
      </c>
      <c r="B26" s="13">
        <f>_xlfn.SINGLE(ExistingFirstMortgageMonthlyPI)*12</f>
        <v>6312</v>
      </c>
      <c r="C26" s="20" t="s">
        <v>297</v>
      </c>
    </row>
    <row r="27" spans="1:3" x14ac:dyDescent="0.25">
      <c r="A27" s="13" t="s">
        <v>286</v>
      </c>
      <c r="B27" s="13">
        <f>PrivateDebtPrincipal*PrivateDebtInterestRate</f>
        <v>7500</v>
      </c>
      <c r="C27" s="20" t="s">
        <v>287</v>
      </c>
    </row>
    <row r="28" spans="1:3" x14ac:dyDescent="0.25">
      <c r="A28" s="13" t="s">
        <v>288</v>
      </c>
      <c r="B28" s="7">
        <f>ExistingFirstMortgageAnnualPayment+PrivateDebtAnnualInterestPayment</f>
        <v>13812</v>
      </c>
      <c r="C28" s="20" t="s">
        <v>289</v>
      </c>
    </row>
    <row r="29" spans="1:3" x14ac:dyDescent="0.25">
      <c r="A29" s="13" t="s">
        <v>306</v>
      </c>
      <c r="B29" s="27">
        <v>0.7</v>
      </c>
      <c r="C29" s="20" t="s">
        <v>307</v>
      </c>
    </row>
    <row r="30" spans="1:3" x14ac:dyDescent="0.25">
      <c r="A30" s="13" t="s">
        <v>33</v>
      </c>
      <c r="B30" s="13">
        <f>MIN((StabilizedMonthlyGrossRent*12*StabilizedOccupancy*(1-OperatingExpenseRatio)*(1+NOIGrowth)/ExitCapRate)*RefinanceLoanToValueCap,TotalExistingDebt+ClassACapital+ClassBCapital)</f>
        <v>744863.0399999998</v>
      </c>
      <c r="C30" s="20" t="s">
        <v>34</v>
      </c>
    </row>
    <row r="31" spans="1:3" x14ac:dyDescent="0.25">
      <c r="A31" s="13" t="s">
        <v>35</v>
      </c>
      <c r="B31" s="13">
        <f>MAX(0,RefinanceLoanAmount-TotalExistingDebt)</f>
        <v>550863.0399999998</v>
      </c>
      <c r="C31" s="20" t="s">
        <v>36</v>
      </c>
    </row>
    <row r="32" spans="1:3" x14ac:dyDescent="0.25">
      <c r="A32" s="13" t="s">
        <v>37</v>
      </c>
      <c r="B32" s="13">
        <f>MAX(0,RefinanceLoanAmount-TotalExistingDebt-ClassACapital)</f>
        <v>250863.0399999998</v>
      </c>
      <c r="C32" s="20" t="s">
        <v>38</v>
      </c>
    </row>
    <row r="33" spans="1:3" x14ac:dyDescent="0.25">
      <c r="A33" s="13" t="s">
        <v>39</v>
      </c>
      <c r="B33" s="27">
        <v>6.5000000000000002E-2</v>
      </c>
      <c r="C33" s="20" t="s">
        <v>40</v>
      </c>
    </row>
    <row r="34" spans="1:3" x14ac:dyDescent="0.25">
      <c r="A34" s="13" t="s">
        <v>41</v>
      </c>
      <c r="B34" s="15">
        <v>30</v>
      </c>
      <c r="C34" s="20" t="s">
        <v>42</v>
      </c>
    </row>
    <row r="35" spans="1:3" x14ac:dyDescent="0.25">
      <c r="A35" s="13" t="s">
        <v>43</v>
      </c>
      <c r="B35" s="27">
        <v>7.0000000000000007E-2</v>
      </c>
      <c r="C35" s="20" t="s">
        <v>44</v>
      </c>
    </row>
    <row r="36" spans="1:3" x14ac:dyDescent="0.25">
      <c r="A36" s="13" t="s">
        <v>45</v>
      </c>
      <c r="B36" s="27">
        <v>0.02</v>
      </c>
      <c r="C36" s="13" t="s">
        <v>46</v>
      </c>
    </row>
    <row r="37" spans="1:3" x14ac:dyDescent="0.25">
      <c r="A37" s="23"/>
      <c r="B37" s="13"/>
      <c r="C37" s="13"/>
    </row>
    <row r="38" spans="1:3" x14ac:dyDescent="0.25">
      <c r="A38" s="13" t="s">
        <v>47</v>
      </c>
      <c r="B38" s="13"/>
      <c r="C38" s="20"/>
    </row>
    <row r="39" spans="1:3" x14ac:dyDescent="0.25">
      <c r="A39" s="13" t="s">
        <v>48</v>
      </c>
      <c r="B39" s="13">
        <v>300000</v>
      </c>
      <c r="C39" s="20" t="s">
        <v>49</v>
      </c>
    </row>
    <row r="40" spans="1:3" x14ac:dyDescent="0.25">
      <c r="A40" s="13" t="s">
        <v>50</v>
      </c>
      <c r="B40" s="27">
        <v>0.08</v>
      </c>
      <c r="C40" s="20" t="s">
        <v>51</v>
      </c>
    </row>
    <row r="41" spans="1:3" x14ac:dyDescent="0.25">
      <c r="A41" s="13" t="s">
        <v>52</v>
      </c>
      <c r="B41" s="13">
        <f>MAX(0,SelectedProjectCost-ClassACapital)</f>
        <v>450000</v>
      </c>
      <c r="C41" s="20" t="s">
        <v>308</v>
      </c>
    </row>
    <row r="42" spans="1:3" x14ac:dyDescent="0.25">
      <c r="A42" s="13" t="s">
        <v>53</v>
      </c>
      <c r="B42" s="13">
        <v>1</v>
      </c>
      <c r="C42" s="20" t="s">
        <v>54</v>
      </c>
    </row>
    <row r="43" spans="1:3" x14ac:dyDescent="0.25">
      <c r="A43" s="13" t="s">
        <v>56</v>
      </c>
      <c r="B43" s="27">
        <v>0.5</v>
      </c>
      <c r="C43" s="20" t="s">
        <v>310</v>
      </c>
    </row>
    <row r="44" spans="1:3" x14ac:dyDescent="0.25">
      <c r="A44" s="13" t="s">
        <v>309</v>
      </c>
      <c r="B44" s="27">
        <f>(1-SponsorResidualShare)*(ClassACapital/(ClassACapital+ClassBCapital))</f>
        <v>0.2</v>
      </c>
      <c r="C44" s="20" t="s">
        <v>311</v>
      </c>
    </row>
    <row r="45" spans="1:3" x14ac:dyDescent="0.25">
      <c r="A45" s="13" t="s">
        <v>55</v>
      </c>
      <c r="B45" s="27">
        <f>(1-SponsorResidualShare)*(ClassBCapital/(ClassACapital+ClassBCapital))</f>
        <v>0.3</v>
      </c>
      <c r="C45" s="20" t="s">
        <v>312</v>
      </c>
    </row>
    <row r="46" spans="1:3" x14ac:dyDescent="0.25">
      <c r="A46" s="13" t="s">
        <v>57</v>
      </c>
      <c r="B46" s="13">
        <v>150000</v>
      </c>
      <c r="C46" s="13" t="s">
        <v>313</v>
      </c>
    </row>
    <row r="47" spans="1:3" x14ac:dyDescent="0.25">
      <c r="A47" s="13" t="s">
        <v>58</v>
      </c>
      <c r="B47" s="32" t="s">
        <v>59</v>
      </c>
      <c r="C47" s="33"/>
    </row>
  </sheetData>
  <mergeCells count="1">
    <mergeCell ref="B47:C47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A3" sqref="A3:XFD3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34" t="s">
        <v>60</v>
      </c>
      <c r="B1" s="35"/>
      <c r="C1" s="3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6" customFormat="1" ht="45" x14ac:dyDescent="0.25">
      <c r="A3" s="29" t="s">
        <v>61</v>
      </c>
      <c r="B3" s="29" t="s">
        <v>62</v>
      </c>
      <c r="C3" s="29" t="s">
        <v>63</v>
      </c>
      <c r="D3" s="29" t="s">
        <v>64</v>
      </c>
      <c r="E3" s="29" t="s">
        <v>65</v>
      </c>
      <c r="F3" s="29" t="s">
        <v>66</v>
      </c>
      <c r="G3" s="29" t="s">
        <v>67</v>
      </c>
      <c r="H3" s="29" t="s">
        <v>298</v>
      </c>
      <c r="I3" s="29" t="s">
        <v>316</v>
      </c>
      <c r="J3" s="29" t="s">
        <v>299</v>
      </c>
      <c r="K3" s="29" t="s">
        <v>300</v>
      </c>
      <c r="L3" s="29" t="s">
        <v>301</v>
      </c>
      <c r="M3" s="29" t="s">
        <v>68</v>
      </c>
      <c r="N3" s="29" t="s">
        <v>69</v>
      </c>
    </row>
    <row r="4" spans="1:14" x14ac:dyDescent="0.25">
      <c r="A4" s="13">
        <v>0</v>
      </c>
      <c r="B4" s="13" t="s">
        <v>70</v>
      </c>
      <c r="C4" s="13">
        <f t="shared" ref="C4:C14" si="0">IF(A4=0,0,StabilizedMonthlyGrossRent*12*(1+NOIGrowth)^MAX(0,A4-StabilizationRefiYear))</f>
        <v>0</v>
      </c>
      <c r="D4" s="13">
        <f t="shared" ref="D4:D14" si="1">IF(A4=0,0,C4*IF(A4=1,LeaseUpOccupancy,StabilizedOccupancy))</f>
        <v>0</v>
      </c>
      <c r="E4" s="13">
        <f t="shared" ref="E4:E14" si="2">D4*OperatingExpenseRatio</f>
        <v>0</v>
      </c>
      <c r="F4" s="13">
        <f t="shared" ref="F4:F14" si="3">D4-E4</f>
        <v>0</v>
      </c>
      <c r="G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4" s="13">
        <f>AnnualModelTable[[#This Row],[NOI]]-AnnualModelTable[[#This Row],[Debt Service]]</f>
        <v>0</v>
      </c>
      <c r="I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0</v>
      </c>
      <c r="K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0</v>
      </c>
      <c r="L4" s="13">
        <f>MAX(0,AnnualModelTable[[#This Row],[Cash Available Before Distributions]]-AnnualModelTable[[#This Row],[Waterfall Distributions]])</f>
        <v>0</v>
      </c>
      <c r="M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4" s="13">
        <f>IF(AnnualModelTable[[#This Row],[Year]]&lt;StabilizationRefiYear,0,AnnualModelTable[[#This Row],[NOI]]*(1+NOIGrowth)/ExitCapRate)</f>
        <v>0</v>
      </c>
    </row>
    <row r="5" spans="1:14" x14ac:dyDescent="0.25">
      <c r="A5" s="13">
        <v>1</v>
      </c>
      <c r="B5" s="13" t="s">
        <v>71</v>
      </c>
      <c r="C5" s="13">
        <f t="shared" si="0"/>
        <v>129600</v>
      </c>
      <c r="D5" s="13">
        <f t="shared" si="1"/>
        <v>64800</v>
      </c>
      <c r="E5" s="13">
        <f t="shared" si="2"/>
        <v>25920</v>
      </c>
      <c r="F5" s="13">
        <f t="shared" si="3"/>
        <v>38880</v>
      </c>
      <c r="G5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13812</v>
      </c>
      <c r="H5" s="13">
        <f>AnnualModelTable[[#This Row],[NOI]]-AnnualModelTable[[#This Row],[Debt Service]]</f>
        <v>25068</v>
      </c>
      <c r="I5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5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25068</v>
      </c>
      <c r="K5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25068</v>
      </c>
      <c r="L5" s="13">
        <f>MAX(0,AnnualModelTable[[#This Row],[Cash Available Before Distributions]]-AnnualModelTable[[#This Row],[Waterfall Distributions]])</f>
        <v>0</v>
      </c>
      <c r="M5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5" s="13">
        <f>IF(AnnualModelTable[[#This Row],[Year]]&lt;StabilizationRefiYear,0,AnnualModelTable[[#This Row],[NOI]]*(1+NOIGrowth)/ExitCapRate)</f>
        <v>0</v>
      </c>
    </row>
    <row r="6" spans="1:14" x14ac:dyDescent="0.25">
      <c r="A6" s="13">
        <v>2</v>
      </c>
      <c r="B6" s="13" t="s">
        <v>72</v>
      </c>
      <c r="C6" s="13">
        <f t="shared" si="0"/>
        <v>129600</v>
      </c>
      <c r="D6" s="13">
        <f t="shared" si="1"/>
        <v>120528</v>
      </c>
      <c r="E6" s="13">
        <f t="shared" si="2"/>
        <v>48211.200000000004</v>
      </c>
      <c r="F6" s="13">
        <f t="shared" si="3"/>
        <v>72316.799999999988</v>
      </c>
      <c r="G6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6" s="13">
        <f>AnnualModelTable[[#This Row],[NOI]]-AnnualModelTable[[#This Row],[Debt Service]]</f>
        <v>15820.306864108752</v>
      </c>
      <c r="I6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550863.0399999998</v>
      </c>
      <c r="J6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566683.34686410858</v>
      </c>
      <c r="K6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566683.34686410858</v>
      </c>
      <c r="L6" s="13">
        <f>MAX(0,AnnualModelTable[[#This Row],[Cash Available Before Distributions]]-AnnualModelTable[[#This Row],[Waterfall Distributions]])</f>
        <v>0</v>
      </c>
      <c r="M6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744863.0399999998</v>
      </c>
      <c r="N6" s="13">
        <f>IF(AnnualModelTable[[#This Row],[Year]]&lt;StabilizationRefiYear,0,AnnualModelTable[[#This Row],[NOI]]*(1+NOIGrowth)/ExitCapRate)</f>
        <v>1064090.057142857</v>
      </c>
    </row>
    <row r="7" spans="1:14" x14ac:dyDescent="0.25">
      <c r="A7" s="13">
        <v>3</v>
      </c>
      <c r="B7" s="13" t="s">
        <v>73</v>
      </c>
      <c r="C7" s="13">
        <f t="shared" si="0"/>
        <v>133488</v>
      </c>
      <c r="D7" s="13">
        <f t="shared" si="1"/>
        <v>124143.84000000001</v>
      </c>
      <c r="E7" s="13">
        <f t="shared" si="2"/>
        <v>49657.536000000007</v>
      </c>
      <c r="F7" s="13">
        <f t="shared" si="3"/>
        <v>74486.304000000004</v>
      </c>
      <c r="G7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7" s="13">
        <f>AnnualModelTable[[#This Row],[NOI]]-AnnualModelTable[[#This Row],[Debt Service]]</f>
        <v>17989.810864108767</v>
      </c>
      <c r="I7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7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17989.810864108767</v>
      </c>
      <c r="K7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17989.810864108767</v>
      </c>
      <c r="L7" s="13">
        <f>MAX(0,AnnualModelTable[[#This Row],[Cash Available Before Distributions]]-AnnualModelTable[[#This Row],[Waterfall Distributions]])</f>
        <v>0</v>
      </c>
      <c r="M7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736537.51609305036</v>
      </c>
      <c r="N7" s="13">
        <f>IF(AnnualModelTable[[#This Row],[Year]]&lt;StabilizationRefiYear,0,AnnualModelTable[[#This Row],[NOI]]*(1+NOIGrowth)/ExitCapRate)</f>
        <v>1096012.7588571429</v>
      </c>
    </row>
    <row r="8" spans="1:14" x14ac:dyDescent="0.25">
      <c r="A8" s="13">
        <v>4</v>
      </c>
      <c r="B8" s="13" t="s">
        <v>73</v>
      </c>
      <c r="C8" s="13">
        <f t="shared" si="0"/>
        <v>137492.63999999998</v>
      </c>
      <c r="D8" s="13">
        <f t="shared" si="1"/>
        <v>127868.15519999999</v>
      </c>
      <c r="E8" s="13">
        <f t="shared" si="2"/>
        <v>51147.26208</v>
      </c>
      <c r="F8" s="13">
        <f t="shared" si="3"/>
        <v>76720.893119999993</v>
      </c>
      <c r="G8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8" s="13">
        <f>AnnualModelTable[[#This Row],[NOI]]-AnnualModelTable[[#This Row],[Debt Service]]</f>
        <v>20224.399984108757</v>
      </c>
      <c r="I8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8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20224.399984108757</v>
      </c>
      <c r="K8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20224.399984108757</v>
      </c>
      <c r="L8" s="13">
        <f>MAX(0,AnnualModelTable[[#This Row],[Cash Available Before Distributions]]-AnnualModelTable[[#This Row],[Waterfall Distributions]])</f>
        <v>0</v>
      </c>
      <c r="M8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727654.41643116099</v>
      </c>
      <c r="N8" s="13">
        <f>IF(AnnualModelTable[[#This Row],[Year]]&lt;StabilizationRefiYear,0,AnnualModelTable[[#This Row],[NOI]]*(1+NOIGrowth)/ExitCapRate)</f>
        <v>1128893.141622857</v>
      </c>
    </row>
    <row r="9" spans="1:14" x14ac:dyDescent="0.25">
      <c r="A9" s="13">
        <v>5</v>
      </c>
      <c r="B9" s="13" t="s">
        <v>73</v>
      </c>
      <c r="C9" s="13">
        <f t="shared" si="0"/>
        <v>141617.4192</v>
      </c>
      <c r="D9" s="13">
        <f t="shared" si="1"/>
        <v>131704.19985600002</v>
      </c>
      <c r="E9" s="13">
        <f t="shared" si="2"/>
        <v>52681.679942400013</v>
      </c>
      <c r="F9" s="13">
        <f t="shared" si="3"/>
        <v>79022.519913600001</v>
      </c>
      <c r="G9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9" s="13">
        <f>AnnualModelTable[[#This Row],[NOI]]-AnnualModelTable[[#This Row],[Debt Service]]</f>
        <v>22526.026777708765</v>
      </c>
      <c r="I9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9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22526.026777708765</v>
      </c>
      <c r="K9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22526.026777708765</v>
      </c>
      <c r="L9" s="13">
        <f>MAX(0,AnnualModelTable[[#This Row],[Cash Available Before Distributions]]-AnnualModelTable[[#This Row],[Waterfall Distributions]])</f>
        <v>0</v>
      </c>
      <c r="M9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718176.39913339156</v>
      </c>
      <c r="N9" s="13">
        <f>IF(AnnualModelTable[[#This Row],[Year]]&lt;StabilizationRefiYear,0,AnnualModelTable[[#This Row],[NOI]]*(1+NOIGrowth)/ExitCapRate)</f>
        <v>1162759.9358715427</v>
      </c>
    </row>
    <row r="10" spans="1:14" x14ac:dyDescent="0.25">
      <c r="A10" s="13">
        <v>6</v>
      </c>
      <c r="B10" s="13" t="s">
        <v>73</v>
      </c>
      <c r="C10" s="13">
        <f t="shared" si="0"/>
        <v>145865.94177599999</v>
      </c>
      <c r="D10" s="13">
        <f t="shared" si="1"/>
        <v>135655.32585168001</v>
      </c>
      <c r="E10" s="13">
        <f t="shared" si="2"/>
        <v>54262.130340672011</v>
      </c>
      <c r="F10" s="13">
        <f t="shared" si="3"/>
        <v>81393.195511008002</v>
      </c>
      <c r="G10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0" s="13">
        <f>AnnualModelTable[[#This Row],[NOI]]-AnnualModelTable[[#This Row],[Debt Service]]</f>
        <v>24896.702375116765</v>
      </c>
      <c r="I10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0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24896.702375116765</v>
      </c>
      <c r="K10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24896.702375116765</v>
      </c>
      <c r="L10" s="13">
        <f>MAX(0,AnnualModelTable[[#This Row],[Cash Available Before Distributions]]-AnnualModelTable[[#This Row],[Waterfall Distributions]])</f>
        <v>0</v>
      </c>
      <c r="M10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708063.62146387866</v>
      </c>
      <c r="N10" s="13">
        <f>IF(AnnualModelTable[[#This Row],[Year]]&lt;StabilizationRefiYear,0,AnnualModelTable[[#This Row],[NOI]]*(1+NOIGrowth)/ExitCapRate)</f>
        <v>1197642.7339476892</v>
      </c>
    </row>
    <row r="11" spans="1:14" x14ac:dyDescent="0.25">
      <c r="A11" s="13">
        <v>7</v>
      </c>
      <c r="B11" s="13" t="s">
        <v>73</v>
      </c>
      <c r="C11" s="13">
        <f t="shared" si="0"/>
        <v>150241.92002927998</v>
      </c>
      <c r="D11" s="13">
        <f t="shared" si="1"/>
        <v>139724.9856272304</v>
      </c>
      <c r="E11" s="13">
        <f t="shared" si="2"/>
        <v>55889.994250892167</v>
      </c>
      <c r="F11" s="13">
        <f t="shared" si="3"/>
        <v>83834.991376338236</v>
      </c>
      <c r="G11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1" s="13">
        <f>AnnualModelTable[[#This Row],[NOI]]-AnnualModelTable[[#This Row],[Debt Service]]</f>
        <v>27338.498240446999</v>
      </c>
      <c r="I11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1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27338.498240446999</v>
      </c>
      <c r="K11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27338.498240446999</v>
      </c>
      <c r="L11" s="13">
        <f>MAX(0,AnnualModelTable[[#This Row],[Cash Available Before Distributions]]-AnnualModelTable[[#This Row],[Waterfall Distributions]])</f>
        <v>0</v>
      </c>
      <c r="M11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697273.5723449483</v>
      </c>
      <c r="N11" s="13">
        <f>IF(AnnualModelTable[[#This Row],[Year]]&lt;StabilizationRefiYear,0,AnnualModelTable[[#This Row],[NOI]]*(1+NOIGrowth)/ExitCapRate)</f>
        <v>1233572.0159661197</v>
      </c>
    </row>
    <row r="12" spans="1:14" x14ac:dyDescent="0.25">
      <c r="A12" s="13">
        <v>8</v>
      </c>
      <c r="B12" s="13" t="s">
        <v>73</v>
      </c>
      <c r="C12" s="13">
        <f t="shared" si="0"/>
        <v>154749.1776301584</v>
      </c>
      <c r="D12" s="13">
        <f t="shared" si="1"/>
        <v>143916.73519604732</v>
      </c>
      <c r="E12" s="13">
        <f t="shared" si="2"/>
        <v>57566.694078418928</v>
      </c>
      <c r="F12" s="13">
        <f t="shared" si="3"/>
        <v>86350.041117628396</v>
      </c>
      <c r="G12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2" s="13">
        <f>AnnualModelTable[[#This Row],[NOI]]-AnnualModelTable[[#This Row],[Debt Service]]</f>
        <v>29853.54798173716</v>
      </c>
      <c r="I12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2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29853.54798173716</v>
      </c>
      <c r="K12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29853.54798173716</v>
      </c>
      <c r="L12" s="13">
        <f>MAX(0,AnnualModelTable[[#This Row],[Cash Available Before Distributions]]-AnnualModelTable[[#This Row],[Waterfall Distributions]])</f>
        <v>0</v>
      </c>
      <c r="M12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685760.89365332504</v>
      </c>
      <c r="N12" s="13">
        <f>IF(AnnualModelTable[[#This Row],[Year]]&lt;StabilizationRefiYear,0,AnnualModelTable[[#This Row],[NOI]]*(1+NOIGrowth)/ExitCapRate)</f>
        <v>1270579.1764451035</v>
      </c>
    </row>
    <row r="13" spans="1:14" x14ac:dyDescent="0.25">
      <c r="A13" s="13">
        <v>9</v>
      </c>
      <c r="B13" s="13" t="s">
        <v>73</v>
      </c>
      <c r="C13" s="13">
        <f t="shared" si="0"/>
        <v>159391.65295906315</v>
      </c>
      <c r="D13" s="13">
        <f t="shared" si="1"/>
        <v>148234.23725192875</v>
      </c>
      <c r="E13" s="13">
        <f t="shared" si="2"/>
        <v>59293.694900771501</v>
      </c>
      <c r="F13" s="13">
        <f t="shared" si="3"/>
        <v>88940.542351157244</v>
      </c>
      <c r="G13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3" s="13">
        <f>AnnualModelTable[[#This Row],[NOI]]-AnnualModelTable[[#This Row],[Debt Service]]</f>
        <v>32444.049215266008</v>
      </c>
      <c r="I13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3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32444.049215266008</v>
      </c>
      <c r="K13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32444.049215266008</v>
      </c>
      <c r="L13" s="13">
        <f>MAX(0,AnnualModelTable[[#This Row],[Cash Available Before Distributions]]-AnnualModelTable[[#This Row],[Waterfall Distributions]])</f>
        <v>0</v>
      </c>
      <c r="M13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673477.18954821327</v>
      </c>
      <c r="N13" s="13">
        <f>IF(AnnualModelTable[[#This Row],[Year]]&lt;StabilizationRefiYear,0,AnnualModelTable[[#This Row],[NOI]]*(1+NOIGrowth)/ExitCapRate)</f>
        <v>1308696.5517384564</v>
      </c>
    </row>
    <row r="14" spans="1:14" x14ac:dyDescent="0.25">
      <c r="A14" s="13">
        <v>10</v>
      </c>
      <c r="B14" s="13" t="s">
        <v>74</v>
      </c>
      <c r="C14" s="13">
        <f t="shared" si="0"/>
        <v>164173.40254783502</v>
      </c>
      <c r="D14" s="13">
        <f t="shared" si="1"/>
        <v>152681.26436948657</v>
      </c>
      <c r="E14" s="13">
        <f t="shared" si="2"/>
        <v>61072.505747794632</v>
      </c>
      <c r="F14" s="13">
        <f t="shared" si="3"/>
        <v>91608.75862169193</v>
      </c>
      <c r="G1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56496.493135891236</v>
      </c>
      <c r="H14" s="13">
        <f>AnnualModelTable[[#This Row],[NOI]]-AnnualModelTable[[#This Row],[Debt Service]]</f>
        <v>35112.265485800694</v>
      </c>
      <c r="I1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1320998.2993247975</v>
      </c>
      <c r="J1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1356110.5648105983</v>
      </c>
      <c r="K14" s="13">
        <f>SUM(INDEX(WaterfallTable[A Total Dist.],MATCH(AnnualModelTable[[#This Row],[Year]],WaterfallTable[Year],0)),INDEX(WaterfallTable[B Total Dist.],MATCH(AnnualModelTable[[#This Row],[Year]],WaterfallTable[Year],0)),INDEX(WaterfallTable[Total Dist.],MATCH(AnnualModelTable[[#This Row],[Year]],WaterfallTable[Year],0)))</f>
        <v>1356110.5648105983</v>
      </c>
      <c r="L14" s="13">
        <f>MAX(0,AnnualModelTable[[#This Row],[Cash Available Before Distributions]]-AnnualModelTable[[#This Row],[Waterfall Distributions]])</f>
        <v>0</v>
      </c>
      <c r="M1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14" s="13">
        <f>IF(AnnualModelTable[[#This Row],[Year]]&lt;StabilizationRefiYear,0,AnnualModelTable[[#This Row],[NOI]]*(1+NOIGrowth)/ExitCapRate)</f>
        <v>1347957.4482906098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tabSelected="1" workbookViewId="0">
      <selection activeCell="M21" sqref="M21"/>
    </sheetView>
  </sheetViews>
  <sheetFormatPr defaultRowHeight="15" x14ac:dyDescent="0.25"/>
  <cols>
    <col min="1" max="1" width="7.140625" style="6" customWidth="1"/>
    <col min="2" max="2" width="16" style="6" customWidth="1"/>
    <col min="3" max="3" width="11.85546875" style="6" customWidth="1"/>
    <col min="4" max="4" width="12.140625" style="6" customWidth="1"/>
    <col min="5" max="5" width="11" style="6" customWidth="1"/>
    <col min="6" max="6" width="11.28515625" style="6" customWidth="1"/>
    <col min="7" max="7" width="10" style="6" customWidth="1"/>
    <col min="8" max="8" width="12" style="6" customWidth="1"/>
    <col min="9" max="9" width="11.42578125" style="6" customWidth="1"/>
    <col min="10" max="10" width="11" style="6" customWidth="1"/>
    <col min="11" max="11" width="10.28515625" style="6" customWidth="1"/>
    <col min="12" max="13" width="12.28515625" style="6" customWidth="1"/>
    <col min="14" max="14" width="11.7109375" style="6" customWidth="1"/>
    <col min="15" max="15" width="9.7109375" style="6" customWidth="1"/>
    <col min="16" max="16" width="10.5703125" style="6" customWidth="1"/>
    <col min="17" max="17" width="11.42578125" style="6" customWidth="1"/>
    <col min="18" max="18" width="12.85546875" style="6" customWidth="1"/>
    <col min="19" max="16384" width="9.140625" style="6"/>
  </cols>
  <sheetData>
    <row r="1" spans="1:18" ht="18.75" x14ac:dyDescent="0.3">
      <c r="A1" s="34" t="s">
        <v>75</v>
      </c>
      <c r="B1" s="35"/>
      <c r="C1" s="3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25">
      <c r="A2" s="13"/>
      <c r="B2" s="13"/>
      <c r="C2" s="36" t="s">
        <v>315</v>
      </c>
      <c r="D2" s="37"/>
      <c r="E2" s="37"/>
      <c r="F2" s="37"/>
      <c r="G2" s="37"/>
      <c r="H2" s="37"/>
      <c r="I2" s="37"/>
      <c r="J2" s="28"/>
      <c r="K2" s="28"/>
      <c r="L2" s="40" t="s">
        <v>97</v>
      </c>
      <c r="M2" s="41"/>
      <c r="N2" s="41"/>
      <c r="O2" s="41"/>
      <c r="P2" s="41"/>
      <c r="Q2" s="38" t="s">
        <v>98</v>
      </c>
      <c r="R2" s="39"/>
    </row>
    <row r="3" spans="1:18" s="26" customFormat="1" ht="45" customHeight="1" x14ac:dyDescent="0.25">
      <c r="A3" s="29" t="s">
        <v>61</v>
      </c>
      <c r="B3" s="29" t="s">
        <v>76</v>
      </c>
      <c r="C3" s="30" t="s">
        <v>317</v>
      </c>
      <c r="D3" s="30" t="s">
        <v>318</v>
      </c>
      <c r="E3" s="30" t="s">
        <v>319</v>
      </c>
      <c r="F3" s="30" t="s">
        <v>320</v>
      </c>
      <c r="G3" s="30" t="s">
        <v>321</v>
      </c>
      <c r="H3" s="30" t="s">
        <v>322</v>
      </c>
      <c r="I3" s="30" t="s">
        <v>323</v>
      </c>
      <c r="J3" s="30" t="s">
        <v>324</v>
      </c>
      <c r="K3" s="30" t="s">
        <v>325</v>
      </c>
      <c r="L3" s="29" t="s">
        <v>326</v>
      </c>
      <c r="M3" s="29" t="s">
        <v>327</v>
      </c>
      <c r="N3" s="29" t="s">
        <v>328</v>
      </c>
      <c r="O3" s="29" t="s">
        <v>329</v>
      </c>
      <c r="P3" s="29" t="s">
        <v>330</v>
      </c>
      <c r="Q3" s="31" t="s">
        <v>331</v>
      </c>
      <c r="R3" s="31" t="s">
        <v>332</v>
      </c>
    </row>
    <row r="4" spans="1:18" x14ac:dyDescent="0.25">
      <c r="A4" s="13">
        <v>0</v>
      </c>
      <c r="B4" s="13">
        <f>INDEX(AnnualModelTable[Cash Available Before Distributions],MATCH(WaterfallTable[[#This Row],[Year]],AnnualModelTable[Year],0))</f>
        <v>0</v>
      </c>
      <c r="C4" s="13">
        <f>IF(WaterfallTable[[#This Row],[Year]]=0,0,INDEX(WaterfallTable[A End Accrued Pref],MATCH(WaterfallTable[[#This Row],[Year]]-1,WaterfallTable[Year],0)))</f>
        <v>0</v>
      </c>
      <c r="D4" s="13">
        <f>WaterfallTable[[#This Row],[A Beg. Capital]]*ClassAPreferredReturn</f>
        <v>24000</v>
      </c>
      <c r="E4" s="13">
        <f>MIN(WaterfallTable[[#This Row],[Cash Available]],WaterfallTable[[#This Row],[A Beg. Pref Accrued]]+WaterfallTable[[#This Row],[A Pref Accrued]])</f>
        <v>0</v>
      </c>
      <c r="F4" s="13">
        <f>IF(WaterfallTable[[#This Row],[Year]]=0,ClassACapital,INDEX(WaterfallTable[A End Capital],MATCH(WaterfallTable[[#This Row],[Year]]-1,WaterfallTable[Year],0)))</f>
        <v>300000</v>
      </c>
      <c r="G4" s="13">
        <f>MIN(MAX(0,WaterfallTable[[#This Row],[Cash Available]]-WaterfallTable[[#This Row],[A Pref Paid]]),WaterfallTable[[#This Row],[A Beg. Capital]])</f>
        <v>0</v>
      </c>
      <c r="H4" s="13">
        <f>WaterfallTable[[#This Row],[A Beg. Pref Accrued]]+WaterfallTable[[#This Row],[A Pref Accrued]]-WaterfallTable[[#This Row],[A Pref Paid]]</f>
        <v>24000</v>
      </c>
      <c r="I4" s="13">
        <f>WaterfallTable[[#This Row],[A Beg. Capital]]-WaterfallTable[[#This Row],[A Capital Returned]]</f>
        <v>300000</v>
      </c>
      <c r="J4" s="13">
        <f>MAX(0,WaterfallTable[[#This Row],[Cash Available]]-WaterfallTable[[#This Row],[A Pref Paid]]-WaterfallTable[[#This Row],[A Capital Returned]]-WaterfallTable[[#This Row],[B Capital Returned]])*ClassAResidualShare</f>
        <v>0</v>
      </c>
      <c r="K4" s="13">
        <f>WaterfallTable[[#This Row],[A Pref Paid]]+WaterfallTable[[#This Row],[A Capital Returned]]+WaterfallTable[[#This Row],[A Residual]]</f>
        <v>0</v>
      </c>
      <c r="L4" s="13">
        <f>IF(WaterfallTable[[#This Row],[Year]]=0,ClassBCapital,INDEX(WaterfallTable[B End Capital],MATCH(WaterfallTable[[#This Row],[Year]]-1,WaterfallTable[Year],0)))</f>
        <v>450000</v>
      </c>
      <c r="M4" s="13">
        <f>IF(ClassBReturnPriority=1,MIN(MAX(0,WaterfallTable[[#This Row],[Cash Available]]-WaterfallTable[[#This Row],[A Pref Paid]]-WaterfallTable[[#This Row],[A Capital Returned]]),WaterfallTable[[#This Row],[B Beg. Capital]]),0)</f>
        <v>0</v>
      </c>
      <c r="N4" s="13">
        <f>WaterfallTable[[#This Row],[B Beg. Capital]]-WaterfallTable[[#This Row],[B Capital Returned]]</f>
        <v>450000</v>
      </c>
      <c r="O4" s="13">
        <f>MAX(0,WaterfallTable[[#This Row],[Cash Available]]-WaterfallTable[[#This Row],[A Pref Paid]]-WaterfallTable[[#This Row],[A Capital Returned]]-WaterfallTable[[#This Row],[B Capital Returned]])*ClassBResidualShare</f>
        <v>0</v>
      </c>
      <c r="P4" s="13">
        <f>WaterfallTable[[#This Row],[B Capital Returned]]+WaterfallTable[[#This Row],[B Residual]]</f>
        <v>0</v>
      </c>
      <c r="Q4" s="13">
        <f>MAX(0,WaterfallTable[[#This Row],[Cash Available]]-WaterfallTable[[#This Row],[A Pref Paid]]-WaterfallTable[[#This Row],[A Capital Returned]]-WaterfallTable[[#This Row],[B Capital Returned]])*SponsorResidualShare</f>
        <v>0</v>
      </c>
      <c r="R4" s="13">
        <f>WaterfallTable[[#This Row],[ Residual]]</f>
        <v>0</v>
      </c>
    </row>
    <row r="5" spans="1:18" x14ac:dyDescent="0.25">
      <c r="A5" s="13">
        <v>1</v>
      </c>
      <c r="B5" s="13">
        <f>INDEX(AnnualModelTable[Cash Available Before Distributions],MATCH(WaterfallTable[[#This Row],[Year]],AnnualModelTable[Year],0))</f>
        <v>25068</v>
      </c>
      <c r="C5" s="13">
        <f>IF(WaterfallTable[[#This Row],[Year]]=0,0,INDEX(WaterfallTable[A End Accrued Pref],MATCH(WaterfallTable[[#This Row],[Year]]-1,WaterfallTable[Year],0)))</f>
        <v>24000</v>
      </c>
      <c r="D5" s="13">
        <f>WaterfallTable[[#This Row],[A Beg. Capital]]*ClassAPreferredReturn</f>
        <v>24000</v>
      </c>
      <c r="E5" s="13">
        <f>MIN(WaterfallTable[[#This Row],[Cash Available]],WaterfallTable[[#This Row],[A Beg. Pref Accrued]]+WaterfallTable[[#This Row],[A Pref Accrued]])</f>
        <v>25068</v>
      </c>
      <c r="F5" s="13">
        <f>IF(WaterfallTable[[#This Row],[Year]]=0,ClassACapital,INDEX(WaterfallTable[A End Capital],MATCH(WaterfallTable[[#This Row],[Year]]-1,WaterfallTable[Year],0)))</f>
        <v>300000</v>
      </c>
      <c r="G5" s="13">
        <f>MIN(MAX(0,WaterfallTable[[#This Row],[Cash Available]]-WaterfallTable[[#This Row],[A Pref Paid]]),WaterfallTable[[#This Row],[A Beg. Capital]])</f>
        <v>0</v>
      </c>
      <c r="H5" s="13">
        <f>WaterfallTable[[#This Row],[A Beg. Pref Accrued]]+WaterfallTable[[#This Row],[A Pref Accrued]]-WaterfallTable[[#This Row],[A Pref Paid]]</f>
        <v>22932</v>
      </c>
      <c r="I5" s="13">
        <f>WaterfallTable[[#This Row],[A Beg. Capital]]-WaterfallTable[[#This Row],[A Capital Returned]]</f>
        <v>300000</v>
      </c>
      <c r="J5" s="13">
        <f>MAX(0,WaterfallTable[[#This Row],[Cash Available]]-WaterfallTable[[#This Row],[A Pref Paid]]-WaterfallTable[[#This Row],[A Capital Returned]]-WaterfallTable[[#This Row],[B Capital Returned]])*ClassAResidualShare</f>
        <v>0</v>
      </c>
      <c r="K5" s="13">
        <f>WaterfallTable[[#This Row],[A Pref Paid]]+WaterfallTable[[#This Row],[A Capital Returned]]+WaterfallTable[[#This Row],[A Residual]]</f>
        <v>25068</v>
      </c>
      <c r="L5" s="13">
        <f>IF(WaterfallTable[[#This Row],[Year]]=0,ClassBCapital,INDEX(WaterfallTable[B End Capital],MATCH(WaterfallTable[[#This Row],[Year]]-1,WaterfallTable[Year],0)))</f>
        <v>450000</v>
      </c>
      <c r="M5" s="13">
        <f>IF(ClassBReturnPriority=1,MIN(MAX(0,WaterfallTable[[#This Row],[Cash Available]]-WaterfallTable[[#This Row],[A Pref Paid]]-WaterfallTable[[#This Row],[A Capital Returned]]),WaterfallTable[[#This Row],[B Beg. Capital]]),0)</f>
        <v>0</v>
      </c>
      <c r="N5" s="13">
        <f>WaterfallTable[[#This Row],[B Beg. Capital]]-WaterfallTable[[#This Row],[B Capital Returned]]</f>
        <v>450000</v>
      </c>
      <c r="O5" s="13">
        <f>MAX(0,WaterfallTable[[#This Row],[Cash Available]]-WaterfallTable[[#This Row],[A Pref Paid]]-WaterfallTable[[#This Row],[A Capital Returned]]-WaterfallTable[[#This Row],[B Capital Returned]])*ClassBResidualShare</f>
        <v>0</v>
      </c>
      <c r="P5" s="13">
        <f>WaterfallTable[[#This Row],[B Capital Returned]]+WaterfallTable[[#This Row],[B Residual]]</f>
        <v>0</v>
      </c>
      <c r="Q5" s="13">
        <f>MAX(0,WaterfallTable[[#This Row],[Cash Available]]-WaterfallTable[[#This Row],[A Pref Paid]]-WaterfallTable[[#This Row],[A Capital Returned]]-WaterfallTable[[#This Row],[B Capital Returned]])*SponsorResidualShare</f>
        <v>0</v>
      </c>
      <c r="R5" s="13">
        <f>WaterfallTable[[#This Row],[ Residual]]</f>
        <v>0</v>
      </c>
    </row>
    <row r="6" spans="1:18" x14ac:dyDescent="0.25">
      <c r="A6" s="13">
        <v>2</v>
      </c>
      <c r="B6" s="13">
        <f>INDEX(AnnualModelTable[Cash Available Before Distributions],MATCH(WaterfallTable[[#This Row],[Year]],AnnualModelTable[Year],0))</f>
        <v>566683.34686410858</v>
      </c>
      <c r="C6" s="13">
        <f>IF(WaterfallTable[[#This Row],[Year]]=0,0,INDEX(WaterfallTable[A End Accrued Pref],MATCH(WaterfallTable[[#This Row],[Year]]-1,WaterfallTable[Year],0)))</f>
        <v>22932</v>
      </c>
      <c r="D6" s="13">
        <f>WaterfallTable[[#This Row],[A Beg. Capital]]*ClassAPreferredReturn</f>
        <v>24000</v>
      </c>
      <c r="E6" s="13">
        <f>MIN(WaterfallTable[[#This Row],[Cash Available]],WaterfallTable[[#This Row],[A Beg. Pref Accrued]]+WaterfallTable[[#This Row],[A Pref Accrued]])</f>
        <v>46932</v>
      </c>
      <c r="F6" s="13">
        <f>IF(WaterfallTable[[#This Row],[Year]]=0,ClassACapital,INDEX(WaterfallTable[A End Capital],MATCH(WaterfallTable[[#This Row],[Year]]-1,WaterfallTable[Year],0)))</f>
        <v>300000</v>
      </c>
      <c r="G6" s="13">
        <f>MIN(MAX(0,WaterfallTable[[#This Row],[Cash Available]]-WaterfallTable[[#This Row],[A Pref Paid]]),WaterfallTable[[#This Row],[A Beg. Capital]])</f>
        <v>300000</v>
      </c>
      <c r="H6" s="13">
        <f>WaterfallTable[[#This Row],[A Beg. Pref Accrued]]+WaterfallTable[[#This Row],[A Pref Accrued]]-WaterfallTable[[#This Row],[A Pref Paid]]</f>
        <v>0</v>
      </c>
      <c r="I6" s="13">
        <f>WaterfallTable[[#This Row],[A Beg. Capital]]-WaterfallTable[[#This Row],[A Capital Returned]]</f>
        <v>0</v>
      </c>
      <c r="J6" s="13">
        <f>MAX(0,WaterfallTable[[#This Row],[Cash Available]]-WaterfallTable[[#This Row],[A Pref Paid]]-WaterfallTable[[#This Row],[A Capital Returned]]-WaterfallTable[[#This Row],[B Capital Returned]])*ClassAResidualShare</f>
        <v>0</v>
      </c>
      <c r="K6" s="13">
        <f>WaterfallTable[[#This Row],[A Pref Paid]]+WaterfallTable[[#This Row],[A Capital Returned]]+WaterfallTable[[#This Row],[A Residual]]</f>
        <v>346932</v>
      </c>
      <c r="L6" s="13">
        <f>IF(WaterfallTable[[#This Row],[Year]]=0,ClassBCapital,INDEX(WaterfallTable[B End Capital],MATCH(WaterfallTable[[#This Row],[Year]]-1,WaterfallTable[Year],0)))</f>
        <v>450000</v>
      </c>
      <c r="M6" s="13">
        <f>IF(ClassBReturnPriority=1,MIN(MAX(0,WaterfallTable[[#This Row],[Cash Available]]-WaterfallTable[[#This Row],[A Pref Paid]]-WaterfallTable[[#This Row],[A Capital Returned]]),WaterfallTable[[#This Row],[B Beg. Capital]]),0)</f>
        <v>219751.34686410858</v>
      </c>
      <c r="N6" s="13">
        <f>WaterfallTable[[#This Row],[B Beg. Capital]]-WaterfallTable[[#This Row],[B Capital Returned]]</f>
        <v>230248.65313589142</v>
      </c>
      <c r="O6" s="13">
        <f>MAX(0,WaterfallTable[[#This Row],[Cash Available]]-WaterfallTable[[#This Row],[A Pref Paid]]-WaterfallTable[[#This Row],[A Capital Returned]]-WaterfallTable[[#This Row],[B Capital Returned]])*ClassBResidualShare</f>
        <v>0</v>
      </c>
      <c r="P6" s="13">
        <f>WaterfallTable[[#This Row],[B Capital Returned]]+WaterfallTable[[#This Row],[B Residual]]</f>
        <v>219751.34686410858</v>
      </c>
      <c r="Q6" s="13">
        <f>MAX(0,WaterfallTable[[#This Row],[Cash Available]]-WaterfallTable[[#This Row],[A Pref Paid]]-WaterfallTable[[#This Row],[A Capital Returned]]-WaterfallTable[[#This Row],[B Capital Returned]])*SponsorResidualShare</f>
        <v>0</v>
      </c>
      <c r="R6" s="13">
        <f>WaterfallTable[[#This Row],[ Residual]]</f>
        <v>0</v>
      </c>
    </row>
    <row r="7" spans="1:18" x14ac:dyDescent="0.25">
      <c r="A7" s="13">
        <v>3</v>
      </c>
      <c r="B7" s="13">
        <f>INDEX(AnnualModelTable[Cash Available Before Distributions],MATCH(WaterfallTable[[#This Row],[Year]],AnnualModelTable[Year],0))</f>
        <v>17989.810864108767</v>
      </c>
      <c r="C7" s="13">
        <f>IF(WaterfallTable[[#This Row],[Year]]=0,0,INDEX(WaterfallTable[A End Accrued Pref],MATCH(WaterfallTable[[#This Row],[Year]]-1,WaterfallTable[Year],0)))</f>
        <v>0</v>
      </c>
      <c r="D7" s="13">
        <f>WaterfallTable[[#This Row],[A Beg. Capital]]*ClassAPreferredReturn</f>
        <v>0</v>
      </c>
      <c r="E7" s="13">
        <f>MIN(WaterfallTable[[#This Row],[Cash Available]],WaterfallTable[[#This Row],[A Beg. Pref Accrued]]+WaterfallTable[[#This Row],[A Pref Accrued]])</f>
        <v>0</v>
      </c>
      <c r="F7" s="13">
        <f>IF(WaterfallTable[[#This Row],[Year]]=0,ClassACapital,INDEX(WaterfallTable[A End Capital],MATCH(WaterfallTable[[#This Row],[Year]]-1,WaterfallTable[Year],0)))</f>
        <v>0</v>
      </c>
      <c r="G7" s="13">
        <f>MIN(MAX(0,WaterfallTable[[#This Row],[Cash Available]]-WaterfallTable[[#This Row],[A Pref Paid]]),WaterfallTable[[#This Row],[A Beg. Capital]])</f>
        <v>0</v>
      </c>
      <c r="H7" s="13">
        <f>WaterfallTable[[#This Row],[A Beg. Pref Accrued]]+WaterfallTable[[#This Row],[A Pref Accrued]]-WaterfallTable[[#This Row],[A Pref Paid]]</f>
        <v>0</v>
      </c>
      <c r="I7" s="13">
        <f>WaterfallTable[[#This Row],[A Beg. Capital]]-WaterfallTable[[#This Row],[A Capital Returned]]</f>
        <v>0</v>
      </c>
      <c r="J7" s="13">
        <f>MAX(0,WaterfallTable[[#This Row],[Cash Available]]-WaterfallTable[[#This Row],[A Pref Paid]]-WaterfallTable[[#This Row],[A Capital Returned]]-WaterfallTable[[#This Row],[B Capital Returned]])*ClassAResidualShare</f>
        <v>0</v>
      </c>
      <c r="K7" s="13">
        <f>WaterfallTable[[#This Row],[A Pref Paid]]+WaterfallTable[[#This Row],[A Capital Returned]]+WaterfallTable[[#This Row],[A Residual]]</f>
        <v>0</v>
      </c>
      <c r="L7" s="13">
        <f>IF(WaterfallTable[[#This Row],[Year]]=0,ClassBCapital,INDEX(WaterfallTable[B End Capital],MATCH(WaterfallTable[[#This Row],[Year]]-1,WaterfallTable[Year],0)))</f>
        <v>230248.65313589142</v>
      </c>
      <c r="M7" s="13">
        <f>IF(ClassBReturnPriority=1,MIN(MAX(0,WaterfallTable[[#This Row],[Cash Available]]-WaterfallTable[[#This Row],[A Pref Paid]]-WaterfallTable[[#This Row],[A Capital Returned]]),WaterfallTable[[#This Row],[B Beg. Capital]]),0)</f>
        <v>17989.810864108767</v>
      </c>
      <c r="N7" s="13">
        <f>WaterfallTable[[#This Row],[B Beg. Capital]]-WaterfallTable[[#This Row],[B Capital Returned]]</f>
        <v>212258.84227178266</v>
      </c>
      <c r="O7" s="13">
        <f>MAX(0,WaterfallTable[[#This Row],[Cash Available]]-WaterfallTable[[#This Row],[A Pref Paid]]-WaterfallTable[[#This Row],[A Capital Returned]]-WaterfallTable[[#This Row],[B Capital Returned]])*ClassBResidualShare</f>
        <v>0</v>
      </c>
      <c r="P7" s="13">
        <f>WaterfallTable[[#This Row],[B Capital Returned]]+WaterfallTable[[#This Row],[B Residual]]</f>
        <v>17989.810864108767</v>
      </c>
      <c r="Q7" s="13">
        <f>MAX(0,WaterfallTable[[#This Row],[Cash Available]]-WaterfallTable[[#This Row],[A Pref Paid]]-WaterfallTable[[#This Row],[A Capital Returned]]-WaterfallTable[[#This Row],[B Capital Returned]])*SponsorResidualShare</f>
        <v>0</v>
      </c>
      <c r="R7" s="13">
        <f>WaterfallTable[[#This Row],[ Residual]]</f>
        <v>0</v>
      </c>
    </row>
    <row r="8" spans="1:18" x14ac:dyDescent="0.25">
      <c r="A8" s="13">
        <v>4</v>
      </c>
      <c r="B8" s="13">
        <f>INDEX(AnnualModelTable[Cash Available Before Distributions],MATCH(WaterfallTable[[#This Row],[Year]],AnnualModelTable[Year],0))</f>
        <v>20224.399984108757</v>
      </c>
      <c r="C8" s="13">
        <f>IF(WaterfallTable[[#This Row],[Year]]=0,0,INDEX(WaterfallTable[A End Accrued Pref],MATCH(WaterfallTable[[#This Row],[Year]]-1,WaterfallTable[Year],0)))</f>
        <v>0</v>
      </c>
      <c r="D8" s="13">
        <f>WaterfallTable[[#This Row],[A Beg. Capital]]*ClassAPreferredReturn</f>
        <v>0</v>
      </c>
      <c r="E8" s="13">
        <f>MIN(WaterfallTable[[#This Row],[Cash Available]],WaterfallTable[[#This Row],[A Beg. Pref Accrued]]+WaterfallTable[[#This Row],[A Pref Accrued]])</f>
        <v>0</v>
      </c>
      <c r="F8" s="13">
        <f>IF(WaterfallTable[[#This Row],[Year]]=0,ClassACapital,INDEX(WaterfallTable[A End Capital],MATCH(WaterfallTable[[#This Row],[Year]]-1,WaterfallTable[Year],0)))</f>
        <v>0</v>
      </c>
      <c r="G8" s="13">
        <f>MIN(MAX(0,WaterfallTable[[#This Row],[Cash Available]]-WaterfallTable[[#This Row],[A Pref Paid]]),WaterfallTable[[#This Row],[A Beg. Capital]])</f>
        <v>0</v>
      </c>
      <c r="H8" s="13">
        <f>WaterfallTable[[#This Row],[A Beg. Pref Accrued]]+WaterfallTable[[#This Row],[A Pref Accrued]]-WaterfallTable[[#This Row],[A Pref Paid]]</f>
        <v>0</v>
      </c>
      <c r="I8" s="13">
        <f>WaterfallTable[[#This Row],[A Beg. Capital]]-WaterfallTable[[#This Row],[A Capital Returned]]</f>
        <v>0</v>
      </c>
      <c r="J8" s="13">
        <f>MAX(0,WaterfallTable[[#This Row],[Cash Available]]-WaterfallTable[[#This Row],[A Pref Paid]]-WaterfallTable[[#This Row],[A Capital Returned]]-WaterfallTable[[#This Row],[B Capital Returned]])*ClassAResidualShare</f>
        <v>0</v>
      </c>
      <c r="K8" s="13">
        <f>WaterfallTable[[#This Row],[A Pref Paid]]+WaterfallTable[[#This Row],[A Capital Returned]]+WaterfallTable[[#This Row],[A Residual]]</f>
        <v>0</v>
      </c>
      <c r="L8" s="13">
        <f>IF(WaterfallTable[[#This Row],[Year]]=0,ClassBCapital,INDEX(WaterfallTable[B End Capital],MATCH(WaterfallTable[[#This Row],[Year]]-1,WaterfallTable[Year],0)))</f>
        <v>212258.84227178266</v>
      </c>
      <c r="M8" s="13">
        <f>IF(ClassBReturnPriority=1,MIN(MAX(0,WaterfallTable[[#This Row],[Cash Available]]-WaterfallTable[[#This Row],[A Pref Paid]]-WaterfallTable[[#This Row],[A Capital Returned]]),WaterfallTable[[#This Row],[B Beg. Capital]]),0)</f>
        <v>20224.399984108757</v>
      </c>
      <c r="N8" s="13">
        <f>WaterfallTable[[#This Row],[B Beg. Capital]]-WaterfallTable[[#This Row],[B Capital Returned]]</f>
        <v>192034.44228767391</v>
      </c>
      <c r="O8" s="13">
        <f>MAX(0,WaterfallTable[[#This Row],[Cash Available]]-WaterfallTable[[#This Row],[A Pref Paid]]-WaterfallTable[[#This Row],[A Capital Returned]]-WaterfallTable[[#This Row],[B Capital Returned]])*ClassBResidualShare</f>
        <v>0</v>
      </c>
      <c r="P8" s="13">
        <f>WaterfallTable[[#This Row],[B Capital Returned]]+WaterfallTable[[#This Row],[B Residual]]</f>
        <v>20224.399984108757</v>
      </c>
      <c r="Q8" s="13">
        <f>MAX(0,WaterfallTable[[#This Row],[Cash Available]]-WaterfallTable[[#This Row],[A Pref Paid]]-WaterfallTable[[#This Row],[A Capital Returned]]-WaterfallTable[[#This Row],[B Capital Returned]])*SponsorResidualShare</f>
        <v>0</v>
      </c>
      <c r="R8" s="13">
        <f>WaterfallTable[[#This Row],[ Residual]]</f>
        <v>0</v>
      </c>
    </row>
    <row r="9" spans="1:18" x14ac:dyDescent="0.25">
      <c r="A9" s="13">
        <v>5</v>
      </c>
      <c r="B9" s="13">
        <f>INDEX(AnnualModelTable[Cash Available Before Distributions],MATCH(WaterfallTable[[#This Row],[Year]],AnnualModelTable[Year],0))</f>
        <v>22526.026777708765</v>
      </c>
      <c r="C9" s="13">
        <f>IF(WaterfallTable[[#This Row],[Year]]=0,0,INDEX(WaterfallTable[A End Accrued Pref],MATCH(WaterfallTable[[#This Row],[Year]]-1,WaterfallTable[Year],0)))</f>
        <v>0</v>
      </c>
      <c r="D9" s="13">
        <f>WaterfallTable[[#This Row],[A Beg. Capital]]*ClassAPreferredReturn</f>
        <v>0</v>
      </c>
      <c r="E9" s="13">
        <f>MIN(WaterfallTable[[#This Row],[Cash Available]],WaterfallTable[[#This Row],[A Beg. Pref Accrued]]+WaterfallTable[[#This Row],[A Pref Accrued]])</f>
        <v>0</v>
      </c>
      <c r="F9" s="13">
        <f>IF(WaterfallTable[[#This Row],[Year]]=0,ClassACapital,INDEX(WaterfallTable[A End Capital],MATCH(WaterfallTable[[#This Row],[Year]]-1,WaterfallTable[Year],0)))</f>
        <v>0</v>
      </c>
      <c r="G9" s="13">
        <f>MIN(MAX(0,WaterfallTable[[#This Row],[Cash Available]]-WaterfallTable[[#This Row],[A Pref Paid]]),WaterfallTable[[#This Row],[A Beg. Capital]])</f>
        <v>0</v>
      </c>
      <c r="H9" s="13">
        <f>WaterfallTable[[#This Row],[A Beg. Pref Accrued]]+WaterfallTable[[#This Row],[A Pref Accrued]]-WaterfallTable[[#This Row],[A Pref Paid]]</f>
        <v>0</v>
      </c>
      <c r="I9" s="13">
        <f>WaterfallTable[[#This Row],[A Beg. Capital]]-WaterfallTable[[#This Row],[A Capital Returned]]</f>
        <v>0</v>
      </c>
      <c r="J9" s="13">
        <f>MAX(0,WaterfallTable[[#This Row],[Cash Available]]-WaterfallTable[[#This Row],[A Pref Paid]]-WaterfallTable[[#This Row],[A Capital Returned]]-WaterfallTable[[#This Row],[B Capital Returned]])*ClassAResidualShare</f>
        <v>0</v>
      </c>
      <c r="K9" s="13">
        <f>WaterfallTable[[#This Row],[A Pref Paid]]+WaterfallTable[[#This Row],[A Capital Returned]]+WaterfallTable[[#This Row],[A Residual]]</f>
        <v>0</v>
      </c>
      <c r="L9" s="13">
        <f>IF(WaterfallTable[[#This Row],[Year]]=0,ClassBCapital,INDEX(WaterfallTable[B End Capital],MATCH(WaterfallTable[[#This Row],[Year]]-1,WaterfallTable[Year],0)))</f>
        <v>192034.44228767391</v>
      </c>
      <c r="M9" s="13">
        <f>IF(ClassBReturnPriority=1,MIN(MAX(0,WaterfallTable[[#This Row],[Cash Available]]-WaterfallTable[[#This Row],[A Pref Paid]]-WaterfallTable[[#This Row],[A Capital Returned]]),WaterfallTable[[#This Row],[B Beg. Capital]]),0)</f>
        <v>22526.026777708765</v>
      </c>
      <c r="N9" s="13">
        <f>WaterfallTable[[#This Row],[B Beg. Capital]]-WaterfallTable[[#This Row],[B Capital Returned]]</f>
        <v>169508.41550996515</v>
      </c>
      <c r="O9" s="13">
        <f>MAX(0,WaterfallTable[[#This Row],[Cash Available]]-WaterfallTable[[#This Row],[A Pref Paid]]-WaterfallTable[[#This Row],[A Capital Returned]]-WaterfallTable[[#This Row],[B Capital Returned]])*ClassBResidualShare</f>
        <v>0</v>
      </c>
      <c r="P9" s="13">
        <f>WaterfallTable[[#This Row],[B Capital Returned]]+WaterfallTable[[#This Row],[B Residual]]</f>
        <v>22526.026777708765</v>
      </c>
      <c r="Q9" s="13">
        <f>MAX(0,WaterfallTable[[#This Row],[Cash Available]]-WaterfallTable[[#This Row],[A Pref Paid]]-WaterfallTable[[#This Row],[A Capital Returned]]-WaterfallTable[[#This Row],[B Capital Returned]])*SponsorResidualShare</f>
        <v>0</v>
      </c>
      <c r="R9" s="13">
        <f>WaterfallTable[[#This Row],[ Residual]]</f>
        <v>0</v>
      </c>
    </row>
    <row r="10" spans="1:18" x14ac:dyDescent="0.25">
      <c r="A10" s="13">
        <v>6</v>
      </c>
      <c r="B10" s="13">
        <f>INDEX(AnnualModelTable[Cash Available Before Distributions],MATCH(WaterfallTable[[#This Row],[Year]],AnnualModelTable[Year],0))</f>
        <v>24896.702375116765</v>
      </c>
      <c r="C10" s="13">
        <f>IF(WaterfallTable[[#This Row],[Year]]=0,0,INDEX(WaterfallTable[A End Accrued Pref],MATCH(WaterfallTable[[#This Row],[Year]]-1,WaterfallTable[Year],0)))</f>
        <v>0</v>
      </c>
      <c r="D10" s="13">
        <f>WaterfallTable[[#This Row],[A Beg. Capital]]*ClassAPreferredReturn</f>
        <v>0</v>
      </c>
      <c r="E10" s="13">
        <f>MIN(WaterfallTable[[#This Row],[Cash Available]],WaterfallTable[[#This Row],[A Beg. Pref Accrued]]+WaterfallTable[[#This Row],[A Pref Accrued]])</f>
        <v>0</v>
      </c>
      <c r="F10" s="13">
        <f>IF(WaterfallTable[[#This Row],[Year]]=0,ClassACapital,INDEX(WaterfallTable[A End Capital],MATCH(WaterfallTable[[#This Row],[Year]]-1,WaterfallTable[Year],0)))</f>
        <v>0</v>
      </c>
      <c r="G10" s="13">
        <f>MIN(MAX(0,WaterfallTable[[#This Row],[Cash Available]]-WaterfallTable[[#This Row],[A Pref Paid]]),WaterfallTable[[#This Row],[A Beg. Capital]])</f>
        <v>0</v>
      </c>
      <c r="H10" s="13">
        <f>WaterfallTable[[#This Row],[A Beg. Pref Accrued]]+WaterfallTable[[#This Row],[A Pref Accrued]]-WaterfallTable[[#This Row],[A Pref Paid]]</f>
        <v>0</v>
      </c>
      <c r="I10" s="13">
        <f>WaterfallTable[[#This Row],[A Beg. Capital]]-WaterfallTable[[#This Row],[A Capital Returned]]</f>
        <v>0</v>
      </c>
      <c r="J10" s="13">
        <f>MAX(0,WaterfallTable[[#This Row],[Cash Available]]-WaterfallTable[[#This Row],[A Pref Paid]]-WaterfallTable[[#This Row],[A Capital Returned]]-WaterfallTable[[#This Row],[B Capital Returned]])*ClassAResidualShare</f>
        <v>0</v>
      </c>
      <c r="K10" s="13">
        <f>WaterfallTable[[#This Row],[A Pref Paid]]+WaterfallTable[[#This Row],[A Capital Returned]]+WaterfallTable[[#This Row],[A Residual]]</f>
        <v>0</v>
      </c>
      <c r="L10" s="13">
        <f>IF(WaterfallTable[[#This Row],[Year]]=0,ClassBCapital,INDEX(WaterfallTable[B End Capital],MATCH(WaterfallTable[[#This Row],[Year]]-1,WaterfallTable[Year],0)))</f>
        <v>169508.41550996515</v>
      </c>
      <c r="M10" s="13">
        <f>IF(ClassBReturnPriority=1,MIN(MAX(0,WaterfallTable[[#This Row],[Cash Available]]-WaterfallTable[[#This Row],[A Pref Paid]]-WaterfallTable[[#This Row],[A Capital Returned]]),WaterfallTable[[#This Row],[B Beg. Capital]]),0)</f>
        <v>24896.702375116765</v>
      </c>
      <c r="N10" s="13">
        <f>WaterfallTable[[#This Row],[B Beg. Capital]]-WaterfallTable[[#This Row],[B Capital Returned]]</f>
        <v>144611.7131348484</v>
      </c>
      <c r="O10" s="13">
        <f>MAX(0,WaterfallTable[[#This Row],[Cash Available]]-WaterfallTable[[#This Row],[A Pref Paid]]-WaterfallTable[[#This Row],[A Capital Returned]]-WaterfallTable[[#This Row],[B Capital Returned]])*ClassBResidualShare</f>
        <v>0</v>
      </c>
      <c r="P10" s="13">
        <f>WaterfallTable[[#This Row],[B Capital Returned]]+WaterfallTable[[#This Row],[B Residual]]</f>
        <v>24896.702375116765</v>
      </c>
      <c r="Q10" s="13">
        <f>MAX(0,WaterfallTable[[#This Row],[Cash Available]]-WaterfallTable[[#This Row],[A Pref Paid]]-WaterfallTable[[#This Row],[A Capital Returned]]-WaterfallTable[[#This Row],[B Capital Returned]])*SponsorResidualShare</f>
        <v>0</v>
      </c>
      <c r="R10" s="13">
        <f>WaterfallTable[[#This Row],[ Residual]]</f>
        <v>0</v>
      </c>
    </row>
    <row r="11" spans="1:18" x14ac:dyDescent="0.25">
      <c r="A11" s="13">
        <v>7</v>
      </c>
      <c r="B11" s="13">
        <f>INDEX(AnnualModelTable[Cash Available Before Distributions],MATCH(WaterfallTable[[#This Row],[Year]],AnnualModelTable[Year],0))</f>
        <v>27338.498240446999</v>
      </c>
      <c r="C11" s="13">
        <f>IF(WaterfallTable[[#This Row],[Year]]=0,0,INDEX(WaterfallTable[A End Accrued Pref],MATCH(WaterfallTable[[#This Row],[Year]]-1,WaterfallTable[Year],0)))</f>
        <v>0</v>
      </c>
      <c r="D11" s="13">
        <f>WaterfallTable[[#This Row],[A Beg. Capital]]*ClassAPreferredReturn</f>
        <v>0</v>
      </c>
      <c r="E11" s="13">
        <f>MIN(WaterfallTable[[#This Row],[Cash Available]],WaterfallTable[[#This Row],[A Beg. Pref Accrued]]+WaterfallTable[[#This Row],[A Pref Accrued]])</f>
        <v>0</v>
      </c>
      <c r="F11" s="13">
        <f>IF(WaterfallTable[[#This Row],[Year]]=0,ClassACapital,INDEX(WaterfallTable[A End Capital],MATCH(WaterfallTable[[#This Row],[Year]]-1,WaterfallTable[Year],0)))</f>
        <v>0</v>
      </c>
      <c r="G11" s="13">
        <f>MIN(MAX(0,WaterfallTable[[#This Row],[Cash Available]]-WaterfallTable[[#This Row],[A Pref Paid]]),WaterfallTable[[#This Row],[A Beg. Capital]])</f>
        <v>0</v>
      </c>
      <c r="H11" s="13">
        <f>WaterfallTable[[#This Row],[A Beg. Pref Accrued]]+WaterfallTable[[#This Row],[A Pref Accrued]]-WaterfallTable[[#This Row],[A Pref Paid]]</f>
        <v>0</v>
      </c>
      <c r="I11" s="13">
        <f>WaterfallTable[[#This Row],[A Beg. Capital]]-WaterfallTable[[#This Row],[A Capital Returned]]</f>
        <v>0</v>
      </c>
      <c r="J11" s="13">
        <f>MAX(0,WaterfallTable[[#This Row],[Cash Available]]-WaterfallTable[[#This Row],[A Pref Paid]]-WaterfallTable[[#This Row],[A Capital Returned]]-WaterfallTable[[#This Row],[B Capital Returned]])*ClassAResidualShare</f>
        <v>0</v>
      </c>
      <c r="K11" s="13">
        <f>WaterfallTable[[#This Row],[A Pref Paid]]+WaterfallTable[[#This Row],[A Capital Returned]]+WaterfallTable[[#This Row],[A Residual]]</f>
        <v>0</v>
      </c>
      <c r="L11" s="13">
        <f>IF(WaterfallTable[[#This Row],[Year]]=0,ClassBCapital,INDEX(WaterfallTable[B End Capital],MATCH(WaterfallTable[[#This Row],[Year]]-1,WaterfallTable[Year],0)))</f>
        <v>144611.7131348484</v>
      </c>
      <c r="M11" s="13">
        <f>IF(ClassBReturnPriority=1,MIN(MAX(0,WaterfallTable[[#This Row],[Cash Available]]-WaterfallTable[[#This Row],[A Pref Paid]]-WaterfallTable[[#This Row],[A Capital Returned]]),WaterfallTable[[#This Row],[B Beg. Capital]]),0)</f>
        <v>27338.498240446999</v>
      </c>
      <c r="N11" s="13">
        <f>WaterfallTable[[#This Row],[B Beg. Capital]]-WaterfallTable[[#This Row],[B Capital Returned]]</f>
        <v>117273.2148944014</v>
      </c>
      <c r="O11" s="13">
        <f>MAX(0,WaterfallTable[[#This Row],[Cash Available]]-WaterfallTable[[#This Row],[A Pref Paid]]-WaterfallTable[[#This Row],[A Capital Returned]]-WaterfallTable[[#This Row],[B Capital Returned]])*ClassBResidualShare</f>
        <v>0</v>
      </c>
      <c r="P11" s="13">
        <f>WaterfallTable[[#This Row],[B Capital Returned]]+WaterfallTable[[#This Row],[B Residual]]</f>
        <v>27338.498240446999</v>
      </c>
      <c r="Q11" s="13">
        <f>MAX(0,WaterfallTable[[#This Row],[Cash Available]]-WaterfallTable[[#This Row],[A Pref Paid]]-WaterfallTable[[#This Row],[A Capital Returned]]-WaterfallTable[[#This Row],[B Capital Returned]])*SponsorResidualShare</f>
        <v>0</v>
      </c>
      <c r="R11" s="13">
        <f>WaterfallTable[[#This Row],[ Residual]]</f>
        <v>0</v>
      </c>
    </row>
    <row r="12" spans="1:18" x14ac:dyDescent="0.25">
      <c r="A12" s="13">
        <v>8</v>
      </c>
      <c r="B12" s="13">
        <f>INDEX(AnnualModelTable[Cash Available Before Distributions],MATCH(WaterfallTable[[#This Row],[Year]],AnnualModelTable[Year],0))</f>
        <v>29853.54798173716</v>
      </c>
      <c r="C12" s="13">
        <f>IF(WaterfallTable[[#This Row],[Year]]=0,0,INDEX(WaterfallTable[A End Accrued Pref],MATCH(WaterfallTable[[#This Row],[Year]]-1,WaterfallTable[Year],0)))</f>
        <v>0</v>
      </c>
      <c r="D12" s="13">
        <f>WaterfallTable[[#This Row],[A Beg. Capital]]*ClassAPreferredReturn</f>
        <v>0</v>
      </c>
      <c r="E12" s="13">
        <f>MIN(WaterfallTable[[#This Row],[Cash Available]],WaterfallTable[[#This Row],[A Beg. Pref Accrued]]+WaterfallTable[[#This Row],[A Pref Accrued]])</f>
        <v>0</v>
      </c>
      <c r="F12" s="13">
        <f>IF(WaterfallTable[[#This Row],[Year]]=0,ClassACapital,INDEX(WaterfallTable[A End Capital],MATCH(WaterfallTable[[#This Row],[Year]]-1,WaterfallTable[Year],0)))</f>
        <v>0</v>
      </c>
      <c r="G12" s="13">
        <f>MIN(MAX(0,WaterfallTable[[#This Row],[Cash Available]]-WaterfallTable[[#This Row],[A Pref Paid]]),WaterfallTable[[#This Row],[A Beg. Capital]])</f>
        <v>0</v>
      </c>
      <c r="H12" s="13">
        <f>WaterfallTable[[#This Row],[A Beg. Pref Accrued]]+WaterfallTable[[#This Row],[A Pref Accrued]]-WaterfallTable[[#This Row],[A Pref Paid]]</f>
        <v>0</v>
      </c>
      <c r="I12" s="13">
        <f>WaterfallTable[[#This Row],[A Beg. Capital]]-WaterfallTable[[#This Row],[A Capital Returned]]</f>
        <v>0</v>
      </c>
      <c r="J12" s="13">
        <f>MAX(0,WaterfallTable[[#This Row],[Cash Available]]-WaterfallTable[[#This Row],[A Pref Paid]]-WaterfallTable[[#This Row],[A Capital Returned]]-WaterfallTable[[#This Row],[B Capital Returned]])*ClassAResidualShare</f>
        <v>0</v>
      </c>
      <c r="K12" s="13">
        <f>WaterfallTable[[#This Row],[A Pref Paid]]+WaterfallTable[[#This Row],[A Capital Returned]]+WaterfallTable[[#This Row],[A Residual]]</f>
        <v>0</v>
      </c>
      <c r="L12" s="13">
        <f>IF(WaterfallTable[[#This Row],[Year]]=0,ClassBCapital,INDEX(WaterfallTable[B End Capital],MATCH(WaterfallTable[[#This Row],[Year]]-1,WaterfallTable[Year],0)))</f>
        <v>117273.2148944014</v>
      </c>
      <c r="M12" s="13">
        <f>IF(ClassBReturnPriority=1,MIN(MAX(0,WaterfallTable[[#This Row],[Cash Available]]-WaterfallTable[[#This Row],[A Pref Paid]]-WaterfallTable[[#This Row],[A Capital Returned]]),WaterfallTable[[#This Row],[B Beg. Capital]]),0)</f>
        <v>29853.54798173716</v>
      </c>
      <c r="N12" s="13">
        <f>WaterfallTable[[#This Row],[B Beg. Capital]]-WaterfallTable[[#This Row],[B Capital Returned]]</f>
        <v>87419.666912664252</v>
      </c>
      <c r="O12" s="13">
        <f>MAX(0,WaterfallTable[[#This Row],[Cash Available]]-WaterfallTable[[#This Row],[A Pref Paid]]-WaterfallTable[[#This Row],[A Capital Returned]]-WaterfallTable[[#This Row],[B Capital Returned]])*ClassBResidualShare</f>
        <v>0</v>
      </c>
      <c r="P12" s="13">
        <f>WaterfallTable[[#This Row],[B Capital Returned]]+WaterfallTable[[#This Row],[B Residual]]</f>
        <v>29853.54798173716</v>
      </c>
      <c r="Q12" s="13">
        <f>MAX(0,WaterfallTable[[#This Row],[Cash Available]]-WaterfallTable[[#This Row],[A Pref Paid]]-WaterfallTable[[#This Row],[A Capital Returned]]-WaterfallTable[[#This Row],[B Capital Returned]])*SponsorResidualShare</f>
        <v>0</v>
      </c>
      <c r="R12" s="13">
        <f>WaterfallTable[[#This Row],[ Residual]]</f>
        <v>0</v>
      </c>
    </row>
    <row r="13" spans="1:18" x14ac:dyDescent="0.25">
      <c r="A13" s="13">
        <v>9</v>
      </c>
      <c r="B13" s="13">
        <f>INDEX(AnnualModelTable[Cash Available Before Distributions],MATCH(WaterfallTable[[#This Row],[Year]],AnnualModelTable[Year],0))</f>
        <v>32444.049215266008</v>
      </c>
      <c r="C13" s="13">
        <f>IF(WaterfallTable[[#This Row],[Year]]=0,0,INDEX(WaterfallTable[A End Accrued Pref],MATCH(WaterfallTable[[#This Row],[Year]]-1,WaterfallTable[Year],0)))</f>
        <v>0</v>
      </c>
      <c r="D13" s="13">
        <f>WaterfallTable[[#This Row],[A Beg. Capital]]*ClassAPreferredReturn</f>
        <v>0</v>
      </c>
      <c r="E13" s="13">
        <f>MIN(WaterfallTable[[#This Row],[Cash Available]],WaterfallTable[[#This Row],[A Beg. Pref Accrued]]+WaterfallTable[[#This Row],[A Pref Accrued]])</f>
        <v>0</v>
      </c>
      <c r="F13" s="13">
        <f>IF(WaterfallTable[[#This Row],[Year]]=0,ClassACapital,INDEX(WaterfallTable[A End Capital],MATCH(WaterfallTable[[#This Row],[Year]]-1,WaterfallTable[Year],0)))</f>
        <v>0</v>
      </c>
      <c r="G13" s="13">
        <f>MIN(MAX(0,WaterfallTable[[#This Row],[Cash Available]]-WaterfallTable[[#This Row],[A Pref Paid]]),WaterfallTable[[#This Row],[A Beg. Capital]])</f>
        <v>0</v>
      </c>
      <c r="H13" s="13">
        <f>WaterfallTable[[#This Row],[A Beg. Pref Accrued]]+WaterfallTable[[#This Row],[A Pref Accrued]]-WaterfallTable[[#This Row],[A Pref Paid]]</f>
        <v>0</v>
      </c>
      <c r="I13" s="13">
        <f>WaterfallTable[[#This Row],[A Beg. Capital]]-WaterfallTable[[#This Row],[A Capital Returned]]</f>
        <v>0</v>
      </c>
      <c r="J13" s="13">
        <f>MAX(0,WaterfallTable[[#This Row],[Cash Available]]-WaterfallTable[[#This Row],[A Pref Paid]]-WaterfallTable[[#This Row],[A Capital Returned]]-WaterfallTable[[#This Row],[B Capital Returned]])*ClassAResidualShare</f>
        <v>0</v>
      </c>
      <c r="K13" s="13">
        <f>WaterfallTable[[#This Row],[A Pref Paid]]+WaterfallTable[[#This Row],[A Capital Returned]]+WaterfallTable[[#This Row],[A Residual]]</f>
        <v>0</v>
      </c>
      <c r="L13" s="13">
        <f>IF(WaterfallTable[[#This Row],[Year]]=0,ClassBCapital,INDEX(WaterfallTable[B End Capital],MATCH(WaterfallTable[[#This Row],[Year]]-1,WaterfallTable[Year],0)))</f>
        <v>87419.666912664252</v>
      </c>
      <c r="M13" s="13">
        <f>IF(ClassBReturnPriority=1,MIN(MAX(0,WaterfallTable[[#This Row],[Cash Available]]-WaterfallTable[[#This Row],[A Pref Paid]]-WaterfallTable[[#This Row],[A Capital Returned]]),WaterfallTable[[#This Row],[B Beg. Capital]]),0)</f>
        <v>32444.049215266008</v>
      </c>
      <c r="N13" s="13">
        <f>WaterfallTable[[#This Row],[B Beg. Capital]]-WaterfallTable[[#This Row],[B Capital Returned]]</f>
        <v>54975.617697398244</v>
      </c>
      <c r="O13" s="13">
        <f>MAX(0,WaterfallTable[[#This Row],[Cash Available]]-WaterfallTable[[#This Row],[A Pref Paid]]-WaterfallTable[[#This Row],[A Capital Returned]]-WaterfallTable[[#This Row],[B Capital Returned]])*ClassBResidualShare</f>
        <v>0</v>
      </c>
      <c r="P13" s="13">
        <f>WaterfallTable[[#This Row],[B Capital Returned]]+WaterfallTable[[#This Row],[B Residual]]</f>
        <v>32444.049215266008</v>
      </c>
      <c r="Q13" s="13">
        <f>MAX(0,WaterfallTable[[#This Row],[Cash Available]]-WaterfallTable[[#This Row],[A Pref Paid]]-WaterfallTable[[#This Row],[A Capital Returned]]-WaterfallTable[[#This Row],[B Capital Returned]])*SponsorResidualShare</f>
        <v>0</v>
      </c>
      <c r="R13" s="13">
        <f>WaterfallTable[[#This Row],[ Residual]]</f>
        <v>0</v>
      </c>
    </row>
    <row r="14" spans="1:18" x14ac:dyDescent="0.25">
      <c r="A14" s="13">
        <v>10</v>
      </c>
      <c r="B14" s="13">
        <f>INDEX(AnnualModelTable[Cash Available Before Distributions],MATCH(WaterfallTable[[#This Row],[Year]],AnnualModelTable[Year],0))</f>
        <v>1356110.5648105983</v>
      </c>
      <c r="C14" s="13">
        <f>IF(WaterfallTable[[#This Row],[Year]]=0,0,INDEX(WaterfallTable[A End Accrued Pref],MATCH(WaterfallTable[[#This Row],[Year]]-1,WaterfallTable[Year],0)))</f>
        <v>0</v>
      </c>
      <c r="D14" s="13">
        <f>WaterfallTable[[#This Row],[A Beg. Capital]]*ClassAPreferredReturn</f>
        <v>0</v>
      </c>
      <c r="E14" s="13">
        <f>MIN(WaterfallTable[[#This Row],[Cash Available]],WaterfallTable[[#This Row],[A Beg. Pref Accrued]]+WaterfallTable[[#This Row],[A Pref Accrued]])</f>
        <v>0</v>
      </c>
      <c r="F14" s="13">
        <f>IF(WaterfallTable[[#This Row],[Year]]=0,ClassACapital,INDEX(WaterfallTable[A End Capital],MATCH(WaterfallTable[[#This Row],[Year]]-1,WaterfallTable[Year],0)))</f>
        <v>0</v>
      </c>
      <c r="G14" s="13">
        <f>MIN(MAX(0,WaterfallTable[[#This Row],[Cash Available]]-WaterfallTable[[#This Row],[A Pref Paid]]),WaterfallTable[[#This Row],[A Beg. Capital]])</f>
        <v>0</v>
      </c>
      <c r="H14" s="13">
        <f>WaterfallTable[[#This Row],[A Beg. Pref Accrued]]+WaterfallTable[[#This Row],[A Pref Accrued]]-WaterfallTable[[#This Row],[A Pref Paid]]</f>
        <v>0</v>
      </c>
      <c r="I14" s="13">
        <f>WaterfallTable[[#This Row],[A Beg. Capital]]-WaterfallTable[[#This Row],[A Capital Returned]]</f>
        <v>0</v>
      </c>
      <c r="J14" s="13">
        <f>MAX(0,WaterfallTable[[#This Row],[Cash Available]]-WaterfallTable[[#This Row],[A Pref Paid]]-WaterfallTable[[#This Row],[A Capital Returned]]-WaterfallTable[[#This Row],[B Capital Returned]])*ClassAResidualShare</f>
        <v>260226.98942264004</v>
      </c>
      <c r="K14" s="13">
        <f>WaterfallTable[[#This Row],[A Pref Paid]]+WaterfallTable[[#This Row],[A Capital Returned]]+WaterfallTable[[#This Row],[A Residual]]</f>
        <v>260226.98942264004</v>
      </c>
      <c r="L14" s="13">
        <f>IF(WaterfallTable[[#This Row],[Year]]=0,ClassBCapital,INDEX(WaterfallTable[B End Capital],MATCH(WaterfallTable[[#This Row],[Year]]-1,WaterfallTable[Year],0)))</f>
        <v>54975.617697398244</v>
      </c>
      <c r="M14" s="13">
        <f>IF(ClassBReturnPriority=1,MIN(MAX(0,WaterfallTable[[#This Row],[Cash Available]]-WaterfallTable[[#This Row],[A Pref Paid]]-WaterfallTable[[#This Row],[A Capital Returned]]),WaterfallTable[[#This Row],[B Beg. Capital]]),0)</f>
        <v>54975.617697398244</v>
      </c>
      <c r="N14" s="13">
        <f>WaterfallTable[[#This Row],[B Beg. Capital]]-WaterfallTable[[#This Row],[B Capital Returned]]</f>
        <v>0</v>
      </c>
      <c r="O14" s="13">
        <f>MAX(0,WaterfallTable[[#This Row],[Cash Available]]-WaterfallTable[[#This Row],[A Pref Paid]]-WaterfallTable[[#This Row],[A Capital Returned]]-WaterfallTable[[#This Row],[B Capital Returned]])*ClassBResidualShare</f>
        <v>390340.48413396004</v>
      </c>
      <c r="P14" s="13">
        <f>WaterfallTable[[#This Row],[B Capital Returned]]+WaterfallTable[[#This Row],[B Residual]]</f>
        <v>445316.10183135828</v>
      </c>
      <c r="Q14" s="13">
        <f>MAX(0,WaterfallTable[[#This Row],[Cash Available]]-WaterfallTable[[#This Row],[A Pref Paid]]-WaterfallTable[[#This Row],[A Capital Returned]]-WaterfallTable[[#This Row],[B Capital Returned]])*SponsorResidualShare</f>
        <v>650567.47355660005</v>
      </c>
      <c r="R14" s="13">
        <f>WaterfallTable[[#This Row],[ Residual]]</f>
        <v>650567.47355660005</v>
      </c>
    </row>
  </sheetData>
  <mergeCells count="4">
    <mergeCell ref="C2:I2"/>
    <mergeCell ref="Q2:R2"/>
    <mergeCell ref="L2:P2"/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0.5703125" style="6" bestFit="1" customWidth="1"/>
    <col min="2" max="2" width="8.42578125" style="6" bestFit="1" customWidth="1"/>
    <col min="3" max="3" width="12.42578125" style="6" customWidth="1"/>
    <col min="4" max="4" width="9.7109375" style="6" bestFit="1" customWidth="1"/>
    <col min="5" max="5" width="8.7109375" style="6" bestFit="1" customWidth="1"/>
    <col min="6" max="6" width="8.28515625" style="6" bestFit="1" customWidth="1"/>
    <col min="7" max="18" width="8.42578125" style="6" bestFit="1" customWidth="1"/>
    <col min="19" max="16384" width="9.140625" style="6"/>
  </cols>
  <sheetData>
    <row r="1" spans="1:20" ht="18.75" x14ac:dyDescent="0.3">
      <c r="A1" s="34" t="s">
        <v>77</v>
      </c>
      <c r="B1" s="33"/>
      <c r="C1" s="33"/>
      <c r="D1" s="3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6" customFormat="1" ht="30" x14ac:dyDescent="0.25">
      <c r="A3" s="25" t="s">
        <v>78</v>
      </c>
      <c r="B3" s="25" t="s">
        <v>79</v>
      </c>
      <c r="C3" s="25" t="s">
        <v>80</v>
      </c>
      <c r="D3" s="25" t="s">
        <v>81</v>
      </c>
      <c r="E3" s="25" t="s">
        <v>82</v>
      </c>
      <c r="F3" s="25" t="s">
        <v>83</v>
      </c>
      <c r="G3" s="25" t="s">
        <v>84</v>
      </c>
      <c r="H3" s="25" t="s">
        <v>85</v>
      </c>
      <c r="I3" s="25" t="s">
        <v>86</v>
      </c>
      <c r="J3" s="25" t="s">
        <v>87</v>
      </c>
      <c r="K3" s="25" t="s">
        <v>88</v>
      </c>
      <c r="L3" s="25" t="s">
        <v>89</v>
      </c>
      <c r="M3" s="25" t="s">
        <v>90</v>
      </c>
      <c r="N3" s="25" t="s">
        <v>91</v>
      </c>
      <c r="O3" s="25" t="s">
        <v>92</v>
      </c>
      <c r="P3" s="25" t="s">
        <v>93</v>
      </c>
      <c r="Q3" s="25" t="s">
        <v>94</v>
      </c>
      <c r="R3" s="25" t="s">
        <v>95</v>
      </c>
    </row>
    <row r="4" spans="1:20" x14ac:dyDescent="0.25">
      <c r="A4" s="13" t="s">
        <v>96</v>
      </c>
      <c r="B4" s="13">
        <f>ClassACapital</f>
        <v>300000</v>
      </c>
      <c r="C4" s="13">
        <f>SUM(WaterfallTable[A Total Dist.])</f>
        <v>632226.98942264006</v>
      </c>
      <c r="D4" s="13">
        <f>C4-B4</f>
        <v>332226.98942264006</v>
      </c>
      <c r="E4" s="13">
        <f>IFERROR(C4/B4,0)</f>
        <v>2.1074232980754668</v>
      </c>
      <c r="F4" s="27">
        <f>IFERROR(D4/B4,0)</f>
        <v>1.1074232980754668</v>
      </c>
      <c r="G4" s="27">
        <f>IRR(H4:R4)</f>
        <v>0.20506615450546994</v>
      </c>
      <c r="H4" s="13">
        <f>-B4</f>
        <v>-300000</v>
      </c>
      <c r="I4" s="13">
        <f>INDEX(WaterfallTable[A Total Dist.],MATCH(1,WaterfallTable[Year],0))</f>
        <v>25068</v>
      </c>
      <c r="J4" s="13">
        <f>INDEX(WaterfallTable[A Total Dist.],MATCH(2,WaterfallTable[Year],0))</f>
        <v>346932</v>
      </c>
      <c r="K4" s="13">
        <f>INDEX(WaterfallTable[A Total Dist.],MATCH(3,WaterfallTable[Year],0))</f>
        <v>0</v>
      </c>
      <c r="L4" s="13">
        <f>INDEX(WaterfallTable[A Total Dist.],MATCH(4,WaterfallTable[Year],0))</f>
        <v>0</v>
      </c>
      <c r="M4" s="13">
        <f>INDEX(WaterfallTable[A Total Dist.],MATCH(5,WaterfallTable[Year],0))</f>
        <v>0</v>
      </c>
      <c r="N4" s="13">
        <f>INDEX(WaterfallTable[A Total Dist.],MATCH(6,WaterfallTable[Year],0))</f>
        <v>0</v>
      </c>
      <c r="O4" s="13">
        <f>INDEX(WaterfallTable[A Total Dist.],MATCH(7,WaterfallTable[Year],0))</f>
        <v>0</v>
      </c>
      <c r="P4" s="13">
        <f>INDEX(WaterfallTable[A Total Dist.],MATCH(8,WaterfallTable[Year],0))</f>
        <v>0</v>
      </c>
      <c r="Q4" s="13">
        <f>INDEX(WaterfallTable[A Total Dist.],MATCH(9,WaterfallTable[Year],0))</f>
        <v>0</v>
      </c>
      <c r="R4" s="13">
        <f>INDEX(WaterfallTable[A Total Dist.],MATCH(10,WaterfallTable[Year],0))</f>
        <v>260226.98942264004</v>
      </c>
    </row>
    <row r="5" spans="1:20" x14ac:dyDescent="0.25">
      <c r="A5" s="13" t="s">
        <v>97</v>
      </c>
      <c r="B5" s="13">
        <f>ClassBCapital</f>
        <v>450000</v>
      </c>
      <c r="C5" s="13">
        <f>SUM(WaterfallTable[B Total Dist.])</f>
        <v>840340.4841339601</v>
      </c>
      <c r="D5" s="13">
        <f>C5-B5</f>
        <v>390340.4841339601</v>
      </c>
      <c r="E5" s="13">
        <f>IFERROR(C5/B5,0)</f>
        <v>1.8674232980754668</v>
      </c>
      <c r="F5" s="27">
        <f>IFERROR(D5/B5,0)</f>
        <v>0.86742329807546692</v>
      </c>
      <c r="G5" s="27">
        <f>IFERROR(IRR(H5:R5),0)</f>
        <v>0.10015976662183279</v>
      </c>
      <c r="H5" s="13">
        <f>-B5</f>
        <v>-450000</v>
      </c>
      <c r="I5" s="13">
        <f>INDEX(WaterfallTable[B Total Dist.],MATCH(1,WaterfallTable[Year],0))</f>
        <v>0</v>
      </c>
      <c r="J5" s="13">
        <f>INDEX(WaterfallTable[B Total Dist.],MATCH(2,WaterfallTable[Year],0))</f>
        <v>219751.34686410858</v>
      </c>
      <c r="K5" s="13">
        <f>INDEX(WaterfallTable[B Total Dist.],MATCH(3,WaterfallTable[Year],0))</f>
        <v>17989.810864108767</v>
      </c>
      <c r="L5" s="13">
        <f>INDEX(WaterfallTable[B Total Dist.],MATCH(4,WaterfallTable[Year],0))</f>
        <v>20224.399984108757</v>
      </c>
      <c r="M5" s="13">
        <f>INDEX(WaterfallTable[B Total Dist.],MATCH(5,WaterfallTable[Year],0))</f>
        <v>22526.026777708765</v>
      </c>
      <c r="N5" s="13">
        <f>INDEX(WaterfallTable[B Total Dist.],MATCH(6,WaterfallTable[Year],0))</f>
        <v>24896.702375116765</v>
      </c>
      <c r="O5" s="13">
        <f>INDEX(WaterfallTable[B Total Dist.],MATCH(7,WaterfallTable[Year],0))</f>
        <v>27338.498240446999</v>
      </c>
      <c r="P5" s="13">
        <f>INDEX(WaterfallTable[B Total Dist.],MATCH(8,WaterfallTable[Year],0))</f>
        <v>29853.54798173716</v>
      </c>
      <c r="Q5" s="13">
        <f>INDEX(WaterfallTable[B Total Dist.],MATCH(9,WaterfallTable[Year],0))</f>
        <v>32444.049215266008</v>
      </c>
      <c r="R5" s="13">
        <f>INDEX(WaterfallTable[B Total Dist.],MATCH(10,WaterfallTable[Year],0))</f>
        <v>445316.10183135828</v>
      </c>
    </row>
    <row r="6" spans="1:20" x14ac:dyDescent="0.25">
      <c r="A6" s="13" t="s">
        <v>98</v>
      </c>
      <c r="B6" s="13">
        <f>SponsorBasis</f>
        <v>150000</v>
      </c>
      <c r="C6" s="13">
        <f>SUM(WaterfallTable[Total Dist.])</f>
        <v>650567.47355660005</v>
      </c>
      <c r="D6" s="13">
        <f>C6-B6</f>
        <v>500567.47355660005</v>
      </c>
      <c r="E6" s="13">
        <f>IFERROR(C6/B6,0)</f>
        <v>4.3371164903773334</v>
      </c>
      <c r="F6" s="27">
        <f>IFERROR(D6/B6,0)</f>
        <v>3.3371164903773338</v>
      </c>
      <c r="G6" s="27">
        <f>IFERROR(IRR(H6:R6),0)</f>
        <v>0.15803079541055309</v>
      </c>
      <c r="H6" s="13">
        <f>-B6</f>
        <v>-150000</v>
      </c>
      <c r="I6" s="13">
        <f>INDEX(WaterfallTable[Total Dist.],MATCH(1,WaterfallTable[Year],0))</f>
        <v>0</v>
      </c>
      <c r="J6" s="13">
        <f>INDEX(WaterfallTable[Total Dist.],MATCH(2,WaterfallTable[Year],0))</f>
        <v>0</v>
      </c>
      <c r="K6" s="13">
        <f>INDEX(WaterfallTable[Total Dist.],MATCH(3,WaterfallTable[Year],0))</f>
        <v>0</v>
      </c>
      <c r="L6" s="13">
        <f>INDEX(WaterfallTable[Total Dist.],MATCH(4,WaterfallTable[Year],0))</f>
        <v>0</v>
      </c>
      <c r="M6" s="13">
        <f>INDEX(WaterfallTable[Total Dist.],MATCH(5,WaterfallTable[Year],0))</f>
        <v>0</v>
      </c>
      <c r="N6" s="13">
        <f>INDEX(WaterfallTable[Total Dist.],MATCH(6,WaterfallTable[Year],0))</f>
        <v>0</v>
      </c>
      <c r="O6" s="13">
        <f>INDEX(WaterfallTable[Total Dist.],MATCH(7,WaterfallTable[Year],0))</f>
        <v>0</v>
      </c>
      <c r="P6" s="13">
        <f>INDEX(WaterfallTable[Total Dist.],MATCH(8,WaterfallTable[Year],0))</f>
        <v>0</v>
      </c>
      <c r="Q6" s="13">
        <f>INDEX(WaterfallTable[Total Dist.],MATCH(9,WaterfallTable[Year],0))</f>
        <v>0</v>
      </c>
      <c r="R6" s="13">
        <f>INDEX(WaterfallTable[Total Dist.],MATCH(10,WaterfallTable[Year],0))</f>
        <v>650567.47355660005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3" t="s">
        <v>99</v>
      </c>
      <c r="B9" s="32" t="s">
        <v>314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100</v>
      </c>
      <c r="B1" s="2"/>
    </row>
    <row r="2" spans="1:2" x14ac:dyDescent="0.25">
      <c r="A2" s="2"/>
      <c r="B2" s="2"/>
    </row>
    <row r="3" spans="1:2" x14ac:dyDescent="0.25">
      <c r="A3" s="4" t="s">
        <v>101</v>
      </c>
      <c r="B3" s="2" t="s">
        <v>102</v>
      </c>
    </row>
    <row r="4" spans="1:2" x14ac:dyDescent="0.25">
      <c r="A4" s="4" t="s">
        <v>103</v>
      </c>
      <c r="B4" s="2" t="s">
        <v>104</v>
      </c>
    </row>
    <row r="5" spans="1:2" x14ac:dyDescent="0.25">
      <c r="A5" s="4" t="s">
        <v>96</v>
      </c>
      <c r="B5" s="2" t="s">
        <v>105</v>
      </c>
    </row>
    <row r="6" spans="1:2" x14ac:dyDescent="0.25">
      <c r="A6" s="4" t="s">
        <v>97</v>
      </c>
      <c r="B6" s="2" t="s">
        <v>106</v>
      </c>
    </row>
    <row r="7" spans="1:2" x14ac:dyDescent="0.25">
      <c r="A7" s="4" t="s">
        <v>98</v>
      </c>
      <c r="B7" s="2" t="s">
        <v>107</v>
      </c>
    </row>
    <row r="8" spans="1:2" x14ac:dyDescent="0.25">
      <c r="A8" s="4" t="s">
        <v>108</v>
      </c>
      <c r="B8" s="2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6"/>
  <sheetViews>
    <sheetView topLeftCell="A15" workbookViewId="0">
      <selection activeCell="D17" sqref="D17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78.42578125" style="6" bestFit="1" customWidth="1"/>
    <col min="4" max="4" width="7.5703125" style="6" bestFit="1" customWidth="1"/>
    <col min="5" max="5" width="32" style="6" bestFit="1" customWidth="1"/>
    <col min="6" max="6" width="8.140625" style="6" bestFit="1" customWidth="1"/>
    <col min="7" max="7" width="42.28515625" style="6" bestFit="1" customWidth="1"/>
    <col min="8" max="8" width="18" style="6" bestFit="1" customWidth="1"/>
    <col min="9" max="9" width="7.140625" style="6" bestFit="1" customWidth="1"/>
    <col min="10" max="16384" width="9.140625" style="6"/>
  </cols>
  <sheetData>
    <row r="1" spans="1:9" x14ac:dyDescent="0.25">
      <c r="A1" s="13" t="s">
        <v>110</v>
      </c>
      <c r="B1" s="13"/>
      <c r="C1" s="13"/>
    </row>
    <row r="2" spans="1:9" x14ac:dyDescent="0.25">
      <c r="A2" s="13" t="s">
        <v>111</v>
      </c>
      <c r="B2" s="42" t="s">
        <v>112</v>
      </c>
      <c r="C2" s="33"/>
      <c r="D2" s="33"/>
    </row>
    <row r="3" spans="1:9" x14ac:dyDescent="0.25">
      <c r="A3" s="13" t="s">
        <v>113</v>
      </c>
      <c r="B3" s="42" t="s">
        <v>114</v>
      </c>
      <c r="C3" s="33"/>
      <c r="D3" s="33"/>
      <c r="E3" s="33"/>
      <c r="F3" s="33"/>
      <c r="G3" s="33"/>
    </row>
    <row r="4" spans="1:9" x14ac:dyDescent="0.25">
      <c r="A4" s="13"/>
      <c r="B4" s="13"/>
      <c r="C4" s="13"/>
    </row>
    <row r="5" spans="1:9" x14ac:dyDescent="0.25">
      <c r="A5" s="13" t="s">
        <v>115</v>
      </c>
      <c r="B5" s="11" t="s">
        <v>116</v>
      </c>
      <c r="C5" s="11" t="s">
        <v>117</v>
      </c>
      <c r="E5" s="6" t="s">
        <v>118</v>
      </c>
      <c r="F5" s="6" t="s">
        <v>116</v>
      </c>
      <c r="G5" s="6" t="s">
        <v>117</v>
      </c>
      <c r="H5" s="6" t="s">
        <v>283</v>
      </c>
    </row>
    <row r="6" spans="1:9" x14ac:dyDescent="0.25">
      <c r="A6" s="13" t="s">
        <v>281</v>
      </c>
      <c r="B6" s="13">
        <f>ExistingFirstMortgagePrincipal</f>
        <v>119000</v>
      </c>
      <c r="C6" s="13" t="s">
        <v>282</v>
      </c>
      <c r="E6" s="6" t="s">
        <v>119</v>
      </c>
      <c r="F6" s="13">
        <f>ClassACapital</f>
        <v>300000</v>
      </c>
      <c r="G6" s="6" t="s">
        <v>120</v>
      </c>
      <c r="H6" s="6" t="s">
        <v>284</v>
      </c>
      <c r="I6" s="27">
        <f>ExistingFirstMortgageRate</f>
        <v>3.2500000000000001E-2</v>
      </c>
    </row>
    <row r="7" spans="1:9" x14ac:dyDescent="0.25">
      <c r="A7" s="13" t="s">
        <v>121</v>
      </c>
      <c r="B7" s="13">
        <f>PrivateDebtPrincipal</f>
        <v>75000</v>
      </c>
      <c r="C7" s="13" t="s">
        <v>122</v>
      </c>
      <c r="E7" s="6" t="s">
        <v>123</v>
      </c>
      <c r="F7" s="13">
        <f>ClassBCapital</f>
        <v>450000</v>
      </c>
      <c r="G7" s="6" t="s">
        <v>124</v>
      </c>
      <c r="H7" s="6" t="s">
        <v>285</v>
      </c>
      <c r="I7" s="27">
        <f>PrivateDebtInterestRate</f>
        <v>0.1</v>
      </c>
    </row>
    <row r="8" spans="1:9" x14ac:dyDescent="0.25">
      <c r="A8" s="13" t="s">
        <v>302</v>
      </c>
      <c r="B8" s="13">
        <f>ExistingFirstMortgageMonthlyPI</f>
        <v>526</v>
      </c>
      <c r="C8" s="13" t="s">
        <v>303</v>
      </c>
      <c r="E8" s="6" t="s">
        <v>125</v>
      </c>
      <c r="F8" s="13">
        <v>0</v>
      </c>
      <c r="G8" s="6" t="s">
        <v>126</v>
      </c>
    </row>
    <row r="9" spans="1:9" x14ac:dyDescent="0.25">
      <c r="A9" s="13" t="s">
        <v>304</v>
      </c>
      <c r="B9" s="13">
        <f>ExistingFirstMortgageAnnualPayment</f>
        <v>6312</v>
      </c>
      <c r="C9" s="13" t="s">
        <v>305</v>
      </c>
      <c r="E9" s="6" t="s">
        <v>129</v>
      </c>
      <c r="F9" s="13">
        <f>RefinanceProceedsAfterExistingDebt</f>
        <v>550863.0399999998</v>
      </c>
      <c r="G9" s="6" t="s">
        <v>130</v>
      </c>
    </row>
    <row r="10" spans="1:9" x14ac:dyDescent="0.25">
      <c r="A10" s="13" t="s">
        <v>290</v>
      </c>
      <c r="B10" s="13">
        <f>PrivateDebtAnnualInterestPayment</f>
        <v>7500</v>
      </c>
      <c r="C10" s="13" t="s">
        <v>291</v>
      </c>
      <c r="E10" s="6" t="s">
        <v>131</v>
      </c>
      <c r="F10" s="13">
        <f>RefinanceProceedsAfterDebtAndClassA</f>
        <v>250863.0399999998</v>
      </c>
      <c r="G10" s="6" t="s">
        <v>132</v>
      </c>
    </row>
    <row r="11" spans="1:9" ht="15.75" thickBot="1" x14ac:dyDescent="0.3">
      <c r="A11" s="13" t="s">
        <v>292</v>
      </c>
      <c r="B11" s="13">
        <f>ExistingDebtServiceAnnual</f>
        <v>13812</v>
      </c>
      <c r="C11" s="13" t="s">
        <v>293</v>
      </c>
      <c r="E11" s="6" t="s">
        <v>127</v>
      </c>
      <c r="F11" s="13">
        <f>RefinanceLoanAmount</f>
        <v>744863.0399999998</v>
      </c>
      <c r="G11" s="6" t="s">
        <v>128</v>
      </c>
    </row>
    <row r="12" spans="1:9" ht="15.75" thickBot="1" x14ac:dyDescent="0.3">
      <c r="A12" s="13"/>
      <c r="B12" s="17" t="s">
        <v>133</v>
      </c>
      <c r="C12" s="16" t="s">
        <v>134</v>
      </c>
      <c r="D12" s="5"/>
    </row>
    <row r="13" spans="1:9" ht="15.75" thickBot="1" x14ac:dyDescent="0.3">
      <c r="A13" s="7" t="s">
        <v>135</v>
      </c>
      <c r="B13" s="12" t="b">
        <f>$C$12="Low"</f>
        <v>1</v>
      </c>
      <c r="C13" s="12" t="b">
        <f>$C$12="High"</f>
        <v>0</v>
      </c>
      <c r="E13" s="12" t="s">
        <v>136</v>
      </c>
      <c r="F13" s="5"/>
      <c r="G13" s="5"/>
      <c r="H13" s="5"/>
    </row>
    <row r="14" spans="1:9" ht="15.75" thickBot="1" x14ac:dyDescent="0.3">
      <c r="A14" s="13" t="s">
        <v>137</v>
      </c>
      <c r="B14" s="13">
        <f>B32</f>
        <v>750000</v>
      </c>
      <c r="C14" s="13">
        <f>C32</f>
        <v>1500000</v>
      </c>
      <c r="D14" s="13" t="b">
        <f>$E$14="Sponsor-Controlled"</f>
        <v>1</v>
      </c>
      <c r="E14" s="16" t="s">
        <v>138</v>
      </c>
    </row>
    <row r="15" spans="1:9" x14ac:dyDescent="0.25">
      <c r="A15" s="13" t="s">
        <v>139</v>
      </c>
      <c r="B15" s="13">
        <f>B46+B55+B64</f>
        <v>1880000</v>
      </c>
      <c r="C15" s="13">
        <f>C46+C55+C64</f>
        <v>4160000</v>
      </c>
      <c r="D15" s="13" t="b">
        <f>$E$14="Outside-Market Benchmark"</f>
        <v>0</v>
      </c>
    </row>
    <row r="16" spans="1:9" x14ac:dyDescent="0.25">
      <c r="A16" s="7" t="s">
        <v>140</v>
      </c>
      <c r="B16" s="7" t="str">
        <f>$E$14</f>
        <v>Sponsor-Controlled</v>
      </c>
      <c r="C16" s="7" t="str">
        <f>$C$12</f>
        <v>Low</v>
      </c>
      <c r="D16" s="7"/>
      <c r="E16" s="5"/>
      <c r="F16" s="5"/>
      <c r="G16" s="5"/>
      <c r="H16" s="5"/>
    </row>
    <row r="17" spans="1:8" x14ac:dyDescent="0.25">
      <c r="A17" s="7" t="s">
        <v>141</v>
      </c>
      <c r="B17" s="7">
        <f>IF($C$12="Low",IF($E$14="Sponsor-Controlled",B14,B15),"")</f>
        <v>750000</v>
      </c>
      <c r="C17" s="7" t="str">
        <f>IF($C$12="High",IF($E$14="Sponsor-Controlled",C14,C15),"")</f>
        <v/>
      </c>
      <c r="D17" s="7">
        <f>IF($C$12="Low",B17,C17)</f>
        <v>750000</v>
      </c>
      <c r="E17" s="5"/>
      <c r="F17" s="5"/>
      <c r="G17" s="5"/>
      <c r="H17" s="5"/>
    </row>
    <row r="18" spans="1:8" x14ac:dyDescent="0.25">
      <c r="A18" s="13"/>
      <c r="B18" s="13"/>
      <c r="C18" s="13"/>
      <c r="D18" s="15"/>
    </row>
    <row r="19" spans="1:8" x14ac:dyDescent="0.25">
      <c r="A19" s="6" t="s">
        <v>142</v>
      </c>
      <c r="B19" s="14" t="s">
        <v>143</v>
      </c>
      <c r="C19" s="14" t="s">
        <v>144</v>
      </c>
      <c r="D19" s="15"/>
    </row>
    <row r="20" spans="1:8" x14ac:dyDescent="0.25">
      <c r="B20" s="13"/>
      <c r="C20" s="13"/>
    </row>
    <row r="21" spans="1:8" x14ac:dyDescent="0.25">
      <c r="A21" s="6" t="s">
        <v>145</v>
      </c>
      <c r="B21" s="13">
        <f>$D$17/5000</f>
        <v>150</v>
      </c>
      <c r="C21" s="13"/>
    </row>
    <row r="22" spans="1:8" x14ac:dyDescent="0.25">
      <c r="A22" s="6" t="s">
        <v>146</v>
      </c>
      <c r="B22" s="13">
        <f>$D$17/6000</f>
        <v>125</v>
      </c>
      <c r="C22" s="13"/>
    </row>
    <row r="23" spans="1:8" x14ac:dyDescent="0.25">
      <c r="B23" s="13"/>
      <c r="C23" s="13"/>
    </row>
    <row r="24" spans="1:8" x14ac:dyDescent="0.25">
      <c r="A24" s="5" t="s">
        <v>147</v>
      </c>
      <c r="B24" s="12" t="s">
        <v>134</v>
      </c>
      <c r="C24" s="12" t="s">
        <v>148</v>
      </c>
    </row>
    <row r="25" spans="1:8" x14ac:dyDescent="0.25">
      <c r="A25" s="6" t="s">
        <v>149</v>
      </c>
      <c r="B25" s="13">
        <v>75000</v>
      </c>
      <c r="C25" s="13">
        <v>175000</v>
      </c>
    </row>
    <row r="26" spans="1:8" x14ac:dyDescent="0.25">
      <c r="A26" s="6" t="s">
        <v>150</v>
      </c>
      <c r="B26" s="13">
        <v>50000</v>
      </c>
      <c r="C26" s="13">
        <v>125000</v>
      </c>
    </row>
    <row r="27" spans="1:8" x14ac:dyDescent="0.25">
      <c r="A27" s="6" t="s">
        <v>151</v>
      </c>
      <c r="B27" s="13">
        <v>390000</v>
      </c>
      <c r="C27" s="13">
        <v>610000</v>
      </c>
    </row>
    <row r="28" spans="1:8" x14ac:dyDescent="0.25">
      <c r="A28" s="6" t="s">
        <v>152</v>
      </c>
      <c r="B28" s="13">
        <v>55000</v>
      </c>
      <c r="C28" s="13">
        <v>110000</v>
      </c>
    </row>
    <row r="29" spans="1:8" x14ac:dyDescent="0.25">
      <c r="A29" s="6" t="s">
        <v>153</v>
      </c>
      <c r="B29" s="13">
        <v>90000</v>
      </c>
      <c r="C29" s="13">
        <v>225000</v>
      </c>
    </row>
    <row r="30" spans="1:8" x14ac:dyDescent="0.25">
      <c r="A30" s="6" t="s">
        <v>154</v>
      </c>
      <c r="B30" s="13">
        <v>30000</v>
      </c>
      <c r="C30" s="13">
        <v>100000</v>
      </c>
    </row>
    <row r="31" spans="1:8" x14ac:dyDescent="0.25">
      <c r="A31" s="6" t="s">
        <v>155</v>
      </c>
      <c r="B31" s="13">
        <v>60000</v>
      </c>
      <c r="C31" s="13">
        <v>155000</v>
      </c>
    </row>
    <row r="32" spans="1:8" x14ac:dyDescent="0.25">
      <c r="A32" s="8" t="s">
        <v>156</v>
      </c>
      <c r="B32" s="7">
        <f>SUM(B25:B31)</f>
        <v>750000</v>
      </c>
      <c r="C32" s="7">
        <f>SUM(C25:C31)</f>
        <v>1500000</v>
      </c>
    </row>
    <row r="33" spans="1:3" x14ac:dyDescent="0.25">
      <c r="A33" s="13" t="s">
        <v>157</v>
      </c>
      <c r="B33" s="11" t="s">
        <v>158</v>
      </c>
      <c r="C33" s="11"/>
    </row>
    <row r="34" spans="1:3" x14ac:dyDescent="0.25">
      <c r="A34" s="13" t="s">
        <v>159</v>
      </c>
      <c r="B34" s="13">
        <f>$D$17</f>
        <v>750000</v>
      </c>
      <c r="C34" s="13"/>
    </row>
    <row r="35" spans="1:3" x14ac:dyDescent="0.25">
      <c r="A35" s="13" t="s">
        <v>160</v>
      </c>
      <c r="B35" s="13">
        <f>$B$11</f>
        <v>13812</v>
      </c>
      <c r="C35" s="13"/>
    </row>
    <row r="36" spans="1:3" x14ac:dyDescent="0.25">
      <c r="A36" s="13" t="s">
        <v>161</v>
      </c>
      <c r="B36" s="13">
        <f>MAX(0,B34-B35)</f>
        <v>736188</v>
      </c>
      <c r="C36" s="13"/>
    </row>
    <row r="37" spans="1:3" x14ac:dyDescent="0.25">
      <c r="A37" s="13"/>
      <c r="B37" s="13"/>
      <c r="C37" s="13"/>
    </row>
    <row r="38" spans="1:3" x14ac:dyDescent="0.25">
      <c r="A38" s="10" t="s">
        <v>162</v>
      </c>
      <c r="B38" s="10" t="s">
        <v>134</v>
      </c>
      <c r="C38" s="10" t="s">
        <v>148</v>
      </c>
    </row>
    <row r="39" spans="1:3" x14ac:dyDescent="0.25">
      <c r="A39" s="10" t="s">
        <v>163</v>
      </c>
      <c r="B39" s="10">
        <v>35000</v>
      </c>
      <c r="C39" s="10">
        <v>90000</v>
      </c>
    </row>
    <row r="40" spans="1:3" x14ac:dyDescent="0.25">
      <c r="A40" s="10" t="s">
        <v>164</v>
      </c>
      <c r="B40" s="10">
        <v>20000</v>
      </c>
      <c r="C40" s="10">
        <v>60000</v>
      </c>
    </row>
    <row r="41" spans="1:3" x14ac:dyDescent="0.25">
      <c r="A41" s="10" t="s">
        <v>165</v>
      </c>
      <c r="B41" s="10">
        <v>20000</v>
      </c>
      <c r="C41" s="10">
        <v>90000</v>
      </c>
    </row>
    <row r="42" spans="1:3" x14ac:dyDescent="0.25">
      <c r="A42" s="10" t="s">
        <v>166</v>
      </c>
      <c r="B42" s="10">
        <v>10000</v>
      </c>
      <c r="C42" s="10">
        <v>30000</v>
      </c>
    </row>
    <row r="43" spans="1:3" x14ac:dyDescent="0.25">
      <c r="A43" s="10" t="s">
        <v>167</v>
      </c>
      <c r="B43" s="10">
        <v>15000</v>
      </c>
      <c r="C43" s="10">
        <v>50000</v>
      </c>
    </row>
    <row r="44" spans="1:3" x14ac:dyDescent="0.25">
      <c r="A44" s="10" t="s">
        <v>168</v>
      </c>
      <c r="B44" s="10">
        <v>15000</v>
      </c>
      <c r="C44" s="10">
        <v>40000</v>
      </c>
    </row>
    <row r="45" spans="1:3" x14ac:dyDescent="0.25">
      <c r="A45" s="10" t="s">
        <v>169</v>
      </c>
      <c r="B45" s="10">
        <v>15000</v>
      </c>
      <c r="C45" s="10">
        <v>45000</v>
      </c>
    </row>
    <row r="46" spans="1:3" x14ac:dyDescent="0.25">
      <c r="A46" s="10" t="s">
        <v>170</v>
      </c>
      <c r="B46" s="10">
        <f>SUM(B39:B45)</f>
        <v>130000</v>
      </c>
      <c r="C46" s="10">
        <f>SUM(C39:C45)</f>
        <v>405000</v>
      </c>
    </row>
    <row r="47" spans="1:3" x14ac:dyDescent="0.25">
      <c r="A47" s="10"/>
      <c r="B47" s="10"/>
      <c r="C47" s="10"/>
    </row>
    <row r="48" spans="1:3" x14ac:dyDescent="0.25">
      <c r="A48" s="10" t="s">
        <v>171</v>
      </c>
      <c r="B48" s="10" t="s">
        <v>134</v>
      </c>
      <c r="C48" s="10" t="s">
        <v>148</v>
      </c>
    </row>
    <row r="49" spans="1:3" x14ac:dyDescent="0.25">
      <c r="A49" s="10" t="s">
        <v>172</v>
      </c>
      <c r="B49" s="10">
        <v>50000</v>
      </c>
      <c r="C49" s="10">
        <v>150000</v>
      </c>
    </row>
    <row r="50" spans="1:3" x14ac:dyDescent="0.25">
      <c r="A50" s="10" t="s">
        <v>173</v>
      </c>
      <c r="B50" s="10">
        <v>40000</v>
      </c>
      <c r="C50" s="10">
        <v>120000</v>
      </c>
    </row>
    <row r="51" spans="1:3" x14ac:dyDescent="0.25">
      <c r="A51" s="10" t="s">
        <v>174</v>
      </c>
      <c r="B51" s="10">
        <v>25000</v>
      </c>
      <c r="C51" s="10">
        <v>75000</v>
      </c>
    </row>
    <row r="52" spans="1:3" x14ac:dyDescent="0.25">
      <c r="A52" s="10" t="s">
        <v>175</v>
      </c>
      <c r="B52" s="10">
        <v>10000</v>
      </c>
      <c r="C52" s="10">
        <v>30000</v>
      </c>
    </row>
    <row r="53" spans="1:3" x14ac:dyDescent="0.25">
      <c r="A53" s="10" t="s">
        <v>176</v>
      </c>
      <c r="B53" s="10">
        <v>20000</v>
      </c>
      <c r="C53" s="10">
        <v>60000</v>
      </c>
    </row>
    <row r="54" spans="1:3" x14ac:dyDescent="0.25">
      <c r="A54" s="10" t="s">
        <v>177</v>
      </c>
      <c r="B54" s="10">
        <v>40000</v>
      </c>
      <c r="C54" s="10">
        <v>125000</v>
      </c>
    </row>
    <row r="55" spans="1:3" x14ac:dyDescent="0.25">
      <c r="A55" s="10" t="s">
        <v>178</v>
      </c>
      <c r="B55" s="10">
        <f>SUM(B49:B54)</f>
        <v>185000</v>
      </c>
      <c r="C55" s="10">
        <f>SUM(C49:C54)</f>
        <v>560000</v>
      </c>
    </row>
    <row r="56" spans="1:3" x14ac:dyDescent="0.25">
      <c r="A56" s="10"/>
      <c r="B56" s="10"/>
      <c r="C56" s="10"/>
    </row>
    <row r="57" spans="1:3" x14ac:dyDescent="0.25">
      <c r="A57" s="10" t="s">
        <v>179</v>
      </c>
      <c r="B57" s="10" t="s">
        <v>134</v>
      </c>
      <c r="C57" s="10" t="s">
        <v>148</v>
      </c>
    </row>
    <row r="58" spans="1:3" x14ac:dyDescent="0.25">
      <c r="A58" s="10" t="s">
        <v>180</v>
      </c>
      <c r="B58" s="10">
        <v>1125000</v>
      </c>
      <c r="C58" s="10">
        <v>1950000</v>
      </c>
    </row>
    <row r="59" spans="1:3" x14ac:dyDescent="0.25">
      <c r="A59" s="10" t="s">
        <v>181</v>
      </c>
      <c r="B59" s="10">
        <v>125000</v>
      </c>
      <c r="C59" s="10">
        <v>350000</v>
      </c>
    </row>
    <row r="60" spans="1:3" x14ac:dyDescent="0.25">
      <c r="A60" s="10" t="s">
        <v>182</v>
      </c>
      <c r="B60" s="10">
        <v>35000</v>
      </c>
      <c r="C60" s="10">
        <v>125000</v>
      </c>
    </row>
    <row r="61" spans="1:3" x14ac:dyDescent="0.25">
      <c r="A61" s="10" t="s">
        <v>183</v>
      </c>
      <c r="B61" s="10">
        <v>75000</v>
      </c>
      <c r="C61" s="10">
        <v>300000</v>
      </c>
    </row>
    <row r="62" spans="1:3" x14ac:dyDescent="0.25">
      <c r="A62" s="10" t="s">
        <v>154</v>
      </c>
      <c r="B62" s="10">
        <v>60000</v>
      </c>
      <c r="C62" s="10">
        <v>180000</v>
      </c>
    </row>
    <row r="63" spans="1:3" x14ac:dyDescent="0.25">
      <c r="A63" s="10" t="s">
        <v>184</v>
      </c>
      <c r="B63" s="10">
        <v>145000</v>
      </c>
      <c r="C63" s="10">
        <v>290000</v>
      </c>
    </row>
    <row r="64" spans="1:3" x14ac:dyDescent="0.25">
      <c r="A64" s="10" t="s">
        <v>185</v>
      </c>
      <c r="B64" s="10">
        <f>SUM(B58:B63)</f>
        <v>1565000</v>
      </c>
      <c r="C64" s="10">
        <f>SUM(C58:C63)</f>
        <v>3195000</v>
      </c>
    </row>
    <row r="66" spans="1:5" x14ac:dyDescent="0.25">
      <c r="A66" s="5" t="s">
        <v>186</v>
      </c>
    </row>
    <row r="67" spans="1:5" x14ac:dyDescent="0.25">
      <c r="A67" s="6" t="s">
        <v>187</v>
      </c>
      <c r="B67" s="33" t="s">
        <v>188</v>
      </c>
      <c r="C67" s="33"/>
      <c r="D67" s="33"/>
    </row>
    <row r="70" spans="1:5" x14ac:dyDescent="0.25">
      <c r="A70" s="5" t="s">
        <v>189</v>
      </c>
    </row>
    <row r="71" spans="1:5" x14ac:dyDescent="0.25">
      <c r="A71" s="6" t="s">
        <v>190</v>
      </c>
      <c r="B71" s="6" t="s">
        <v>191</v>
      </c>
      <c r="C71" s="33" t="s">
        <v>192</v>
      </c>
      <c r="D71" s="33"/>
      <c r="E71" s="33"/>
    </row>
    <row r="72" spans="1:5" x14ac:dyDescent="0.25">
      <c r="A72" s="6" t="s">
        <v>193</v>
      </c>
      <c r="B72" s="6" t="s">
        <v>191</v>
      </c>
      <c r="C72" s="33" t="s">
        <v>192</v>
      </c>
      <c r="D72" s="33"/>
      <c r="E72" s="33"/>
    </row>
    <row r="73" spans="1:5" x14ac:dyDescent="0.25">
      <c r="A73" s="6" t="s">
        <v>194</v>
      </c>
      <c r="B73" s="6" t="s">
        <v>191</v>
      </c>
      <c r="C73" s="33" t="s">
        <v>192</v>
      </c>
      <c r="D73" s="33"/>
      <c r="E73" s="33"/>
    </row>
    <row r="74" spans="1:5" x14ac:dyDescent="0.25">
      <c r="A74" s="6" t="s">
        <v>195</v>
      </c>
      <c r="B74" s="6" t="s">
        <v>191</v>
      </c>
      <c r="C74" s="33" t="s">
        <v>192</v>
      </c>
      <c r="D74" s="33"/>
      <c r="E74" s="33"/>
    </row>
    <row r="75" spans="1:5" x14ac:dyDescent="0.25">
      <c r="A75" s="6" t="s">
        <v>196</v>
      </c>
      <c r="B75" s="6" t="s">
        <v>197</v>
      </c>
      <c r="C75" s="33" t="s">
        <v>198</v>
      </c>
      <c r="D75" s="33"/>
      <c r="E75" s="33"/>
    </row>
    <row r="76" spans="1:5" x14ac:dyDescent="0.25">
      <c r="A76" s="6" t="s">
        <v>199</v>
      </c>
      <c r="B76" s="6" t="s">
        <v>191</v>
      </c>
      <c r="C76" s="33" t="s">
        <v>200</v>
      </c>
      <c r="D76" s="33"/>
      <c r="E76" s="33"/>
    </row>
    <row r="77" spans="1:5" x14ac:dyDescent="0.25">
      <c r="A77" s="6" t="s">
        <v>201</v>
      </c>
      <c r="B77" s="6" t="s">
        <v>191</v>
      </c>
      <c r="C77" s="33" t="s">
        <v>202</v>
      </c>
      <c r="D77" s="33"/>
      <c r="E77" s="33"/>
    </row>
    <row r="78" spans="1:5" x14ac:dyDescent="0.25">
      <c r="A78" s="6" t="s">
        <v>203</v>
      </c>
      <c r="B78" s="6" t="s">
        <v>191</v>
      </c>
      <c r="C78" s="33" t="s">
        <v>204</v>
      </c>
      <c r="D78" s="33"/>
      <c r="E78" s="33"/>
    </row>
    <row r="80" spans="1:5" x14ac:dyDescent="0.25">
      <c r="A80" s="5" t="s">
        <v>205</v>
      </c>
    </row>
    <row r="81" spans="1:5" x14ac:dyDescent="0.25">
      <c r="A81" s="6" t="s">
        <v>206</v>
      </c>
      <c r="B81" s="6" t="s">
        <v>191</v>
      </c>
      <c r="C81" s="33" t="s">
        <v>207</v>
      </c>
      <c r="D81" s="33"/>
      <c r="E81" s="33"/>
    </row>
    <row r="82" spans="1:5" x14ac:dyDescent="0.25">
      <c r="A82" s="6" t="s">
        <v>208</v>
      </c>
      <c r="B82" s="6" t="s">
        <v>197</v>
      </c>
    </row>
    <row r="83" spans="1:5" x14ac:dyDescent="0.25">
      <c r="A83" s="6" t="s">
        <v>209</v>
      </c>
      <c r="B83" s="6" t="s">
        <v>197</v>
      </c>
    </row>
    <row r="84" spans="1:5" x14ac:dyDescent="0.25">
      <c r="A84" s="6" t="s">
        <v>210</v>
      </c>
      <c r="B84" s="6" t="s">
        <v>197</v>
      </c>
    </row>
    <row r="85" spans="1:5" x14ac:dyDescent="0.25">
      <c r="A85" s="6" t="s">
        <v>211</v>
      </c>
      <c r="B85" s="6" t="s">
        <v>197</v>
      </c>
    </row>
    <row r="86" spans="1:5" x14ac:dyDescent="0.25">
      <c r="A86" s="6" t="s">
        <v>212</v>
      </c>
      <c r="B86" s="6" t="s">
        <v>191</v>
      </c>
      <c r="C86" s="33" t="s">
        <v>213</v>
      </c>
      <c r="D86" s="33"/>
      <c r="E86" s="33"/>
    </row>
  </sheetData>
  <mergeCells count="13">
    <mergeCell ref="C86:E86"/>
    <mergeCell ref="B2:D2"/>
    <mergeCell ref="B67:D67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  <mergeCell ref="B3:G3"/>
  </mergeCells>
  <dataValidations count="2">
    <dataValidation type="list" allowBlank="1" showInputMessage="1" showErrorMessage="1" sqref="C12" xr:uid="{F2EFADDC-137B-4384-97BE-5AFFC5C45AA5}">
      <formula1>"Low,High"</formula1>
    </dataValidation>
    <dataValidation type="list" allowBlank="1" showInputMessage="1" showErrorMessage="1" sqref="E14" xr:uid="{FBAD43CC-91F5-43EF-8158-03167006C414}">
      <formula1>"Sponsor-Controlled,Outside-Market Benchmark"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36" sqref="B36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214</v>
      </c>
      <c r="B1" s="5"/>
      <c r="C1" s="5"/>
    </row>
    <row r="3" spans="1:9" x14ac:dyDescent="0.25">
      <c r="A3" s="5" t="s">
        <v>215</v>
      </c>
      <c r="B3" s="5"/>
      <c r="C3" s="5"/>
    </row>
    <row r="4" spans="1:9" x14ac:dyDescent="0.25">
      <c r="A4" t="s">
        <v>216</v>
      </c>
      <c r="C4" t="s">
        <v>217</v>
      </c>
      <c r="I4" t="b">
        <v>0</v>
      </c>
    </row>
    <row r="5" spans="1:9" x14ac:dyDescent="0.25">
      <c r="A5" t="s">
        <v>218</v>
      </c>
      <c r="B5" s="1">
        <v>0.4</v>
      </c>
      <c r="C5" t="s">
        <v>219</v>
      </c>
    </row>
    <row r="6" spans="1:9" ht="15.75" thickBot="1" x14ac:dyDescent="0.3">
      <c r="A6" t="s">
        <v>220</v>
      </c>
      <c r="B6" s="1">
        <f>IFERROR(B36/B10,0)</f>
        <v>0.65890083632019114</v>
      </c>
      <c r="C6" t="s">
        <v>221</v>
      </c>
    </row>
    <row r="7" spans="1:9" ht="15.75" thickBot="1" x14ac:dyDescent="0.3">
      <c r="A7" s="18" t="s">
        <v>21</v>
      </c>
      <c r="B7" s="19">
        <f>IF(I4,B6,B5)</f>
        <v>0.4</v>
      </c>
      <c r="C7" t="s">
        <v>222</v>
      </c>
    </row>
    <row r="9" spans="1:9" x14ac:dyDescent="0.25">
      <c r="A9" s="5" t="s">
        <v>223</v>
      </c>
      <c r="B9" s="5"/>
      <c r="C9" s="5"/>
    </row>
    <row r="10" spans="1:9" x14ac:dyDescent="0.25">
      <c r="A10" t="s">
        <v>224</v>
      </c>
      <c r="B10" s="2">
        <f>StabilizedMonthlyGrossRent*12*StabilizedOccupancy</f>
        <v>120528</v>
      </c>
      <c r="C10" t="s">
        <v>225</v>
      </c>
    </row>
    <row r="11" spans="1:9" x14ac:dyDescent="0.25">
      <c r="B11" s="2"/>
    </row>
    <row r="12" spans="1:9" x14ac:dyDescent="0.25">
      <c r="A12" s="5" t="s">
        <v>226</v>
      </c>
      <c r="B12" s="7" t="s">
        <v>227</v>
      </c>
      <c r="C12" s="5" t="s">
        <v>228</v>
      </c>
    </row>
    <row r="13" spans="1:9" x14ac:dyDescent="0.25">
      <c r="A13" t="s">
        <v>229</v>
      </c>
      <c r="B13" s="9">
        <v>7000</v>
      </c>
      <c r="C13" t="s">
        <v>230</v>
      </c>
    </row>
    <row r="14" spans="1:9" x14ac:dyDescent="0.25">
      <c r="A14" t="s">
        <v>231</v>
      </c>
      <c r="B14" s="2">
        <v>9000</v>
      </c>
      <c r="C14" t="s">
        <v>232</v>
      </c>
    </row>
    <row r="15" spans="1:9" x14ac:dyDescent="0.25">
      <c r="A15" t="s">
        <v>233</v>
      </c>
      <c r="B15" s="9">
        <f>+D15*StabilizedMonthlyGrossRent*12</f>
        <v>7776</v>
      </c>
      <c r="C15" t="s">
        <v>234</v>
      </c>
      <c r="D15" s="21">
        <v>0.06</v>
      </c>
    </row>
    <row r="16" spans="1:9" x14ac:dyDescent="0.25">
      <c r="A16" t="s">
        <v>235</v>
      </c>
      <c r="B16" s="9">
        <v>15000</v>
      </c>
      <c r="C16" t="s">
        <v>236</v>
      </c>
    </row>
    <row r="17" spans="1:3" x14ac:dyDescent="0.25">
      <c r="A17" t="s">
        <v>237</v>
      </c>
      <c r="B17" s="9">
        <v>500</v>
      </c>
      <c r="C17" t="s">
        <v>238</v>
      </c>
    </row>
    <row r="18" spans="1:3" x14ac:dyDescent="0.25">
      <c r="A18" t="s">
        <v>239</v>
      </c>
      <c r="B18" s="9">
        <v>2400</v>
      </c>
      <c r="C18" t="s">
        <v>240</v>
      </c>
    </row>
    <row r="19" spans="1:3" x14ac:dyDescent="0.25">
      <c r="A19" t="s">
        <v>241</v>
      </c>
      <c r="B19" s="9">
        <v>1800</v>
      </c>
      <c r="C19" t="s">
        <v>242</v>
      </c>
    </row>
    <row r="20" spans="1:3" x14ac:dyDescent="0.25">
      <c r="A20" t="s">
        <v>243</v>
      </c>
      <c r="B20" s="9">
        <v>9000</v>
      </c>
      <c r="C20" t="s">
        <v>244</v>
      </c>
    </row>
    <row r="21" spans="1:3" x14ac:dyDescent="0.25">
      <c r="A21" t="s">
        <v>245</v>
      </c>
      <c r="B21" s="9">
        <f>200*8</f>
        <v>1600</v>
      </c>
      <c r="C21" t="s">
        <v>246</v>
      </c>
    </row>
    <row r="22" spans="1:3" x14ac:dyDescent="0.25">
      <c r="A22" t="s">
        <v>247</v>
      </c>
      <c r="B22" s="9">
        <v>3600</v>
      </c>
      <c r="C22" t="s">
        <v>248</v>
      </c>
    </row>
    <row r="23" spans="1:3" x14ac:dyDescent="0.25">
      <c r="A23" t="s">
        <v>249</v>
      </c>
      <c r="B23" s="9">
        <v>1200</v>
      </c>
      <c r="C23" t="s">
        <v>242</v>
      </c>
    </row>
    <row r="24" spans="1:3" x14ac:dyDescent="0.25">
      <c r="A24" t="s">
        <v>250</v>
      </c>
      <c r="B24" s="9">
        <v>3000</v>
      </c>
      <c r="C24" t="s">
        <v>251</v>
      </c>
    </row>
    <row r="25" spans="1:3" x14ac:dyDescent="0.25">
      <c r="A25" t="s">
        <v>252</v>
      </c>
      <c r="B25" s="9">
        <v>4000</v>
      </c>
      <c r="C25" t="s">
        <v>253</v>
      </c>
    </row>
    <row r="26" spans="1:3" x14ac:dyDescent="0.25">
      <c r="A26" t="s">
        <v>254</v>
      </c>
      <c r="B26" s="2">
        <v>0</v>
      </c>
      <c r="C26" t="s">
        <v>255</v>
      </c>
    </row>
    <row r="27" spans="1:3" x14ac:dyDescent="0.25">
      <c r="A27" t="s">
        <v>256</v>
      </c>
      <c r="B27" s="2">
        <f>120*12</f>
        <v>1440</v>
      </c>
      <c r="C27" t="s">
        <v>257</v>
      </c>
    </row>
    <row r="28" spans="1:3" x14ac:dyDescent="0.25">
      <c r="A28" t="s">
        <v>258</v>
      </c>
      <c r="B28" s="2"/>
      <c r="C28" t="s">
        <v>259</v>
      </c>
    </row>
    <row r="29" spans="1:3" x14ac:dyDescent="0.25">
      <c r="A29" t="s">
        <v>260</v>
      </c>
      <c r="B29" s="2">
        <v>1200</v>
      </c>
      <c r="C29" t="s">
        <v>261</v>
      </c>
    </row>
    <row r="30" spans="1:3" x14ac:dyDescent="0.25">
      <c r="A30" t="s">
        <v>262</v>
      </c>
      <c r="B30" s="2"/>
      <c r="C30" t="s">
        <v>263</v>
      </c>
    </row>
    <row r="31" spans="1:3" x14ac:dyDescent="0.25">
      <c r="A31" t="s">
        <v>264</v>
      </c>
      <c r="B31" s="2">
        <v>2400</v>
      </c>
      <c r="C31" t="s">
        <v>265</v>
      </c>
    </row>
    <row r="32" spans="1:3" x14ac:dyDescent="0.25">
      <c r="A32" t="s">
        <v>266</v>
      </c>
      <c r="B32" s="2">
        <v>1200</v>
      </c>
      <c r="C32" t="s">
        <v>267</v>
      </c>
    </row>
    <row r="33" spans="1:3" x14ac:dyDescent="0.25">
      <c r="A33" t="s">
        <v>268</v>
      </c>
      <c r="B33" s="2">
        <v>800</v>
      </c>
      <c r="C33" t="s">
        <v>269</v>
      </c>
    </row>
    <row r="34" spans="1:3" x14ac:dyDescent="0.25">
      <c r="A34" t="s">
        <v>270</v>
      </c>
      <c r="B34" s="2">
        <v>2500</v>
      </c>
      <c r="C34" t="s">
        <v>271</v>
      </c>
    </row>
    <row r="35" spans="1:3" x14ac:dyDescent="0.25">
      <c r="A35" s="5" t="s">
        <v>272</v>
      </c>
      <c r="B35" s="7">
        <v>4000</v>
      </c>
      <c r="C35" s="5" t="s">
        <v>273</v>
      </c>
    </row>
    <row r="36" spans="1:3" x14ac:dyDescent="0.25">
      <c r="A36" s="5" t="s">
        <v>274</v>
      </c>
      <c r="B36" s="7">
        <f>SUM(B13:B35)</f>
        <v>79416</v>
      </c>
      <c r="C36" s="5" t="s">
        <v>275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58</vt:i4>
      </vt:variant>
    </vt:vector>
  </HeadingPairs>
  <TitlesOfParts>
    <vt:vector size="65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SelectedUnderwritingCase</vt:lpstr>
      <vt:lpstr>SellingCosts</vt:lpstr>
      <vt:lpstr>SponsorBasis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2026-05-15T15:16:07Z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