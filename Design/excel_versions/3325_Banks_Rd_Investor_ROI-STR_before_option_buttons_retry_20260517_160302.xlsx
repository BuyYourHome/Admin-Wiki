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FF571EC7-DC8A-4085-839E-5837A8435539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L34" i="8" s="1"/>
  <c r="H26" i="8"/>
  <c r="L26" i="8" s="1"/>
  <c r="C6" i="2" s="1"/>
  <c r="D6" i="2" s="1"/>
  <c r="F22" i="3" s="1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C5" i="2" s="1"/>
  <c r="D5" i="2" s="1"/>
  <c r="E22" i="3" s="1"/>
  <c r="G29" i="8"/>
  <c r="H29" i="8" s="1"/>
  <c r="L29" i="8"/>
  <c r="C9" i="2" s="1"/>
  <c r="D9" i="2" s="1"/>
  <c r="I22" i="3" s="1"/>
  <c r="G30" i="8"/>
  <c r="H30" i="8" s="1"/>
  <c r="L30" i="8"/>
  <c r="G31" i="8"/>
  <c r="H31" i="8" s="1"/>
  <c r="L31" i="8"/>
  <c r="G33" i="8"/>
  <c r="H33" i="8" s="1"/>
  <c r="L33" i="8"/>
  <c r="G28" i="8"/>
  <c r="H28" i="8" s="1"/>
  <c r="L28" i="8"/>
  <c r="C8" i="2" s="1"/>
  <c r="D8" i="2" s="1"/>
  <c r="H22" i="3" s="1"/>
  <c r="G32" i="8"/>
  <c r="H32" i="8" s="1"/>
  <c r="L32" i="8"/>
  <c r="G27" i="8"/>
  <c r="H27" i="8" s="1"/>
  <c r="L27" i="8"/>
  <c r="C7" i="2" s="1"/>
  <c r="D7" i="2" s="1"/>
  <c r="G22" i="3" s="1"/>
  <c r="P4" i="3"/>
  <c r="D21" i="3" s="1"/>
  <c r="M4" i="3"/>
  <c r="I4" i="3"/>
  <c r="E4" i="3"/>
  <c r="F5" i="3"/>
  <c r="C5" i="3" s="1"/>
  <c r="D14" i="2"/>
  <c r="N22" i="3" s="1"/>
  <c r="G10" i="6"/>
  <c r="B29" i="6" s="1"/>
  <c r="O22" i="3" l="1"/>
  <c r="P22" i="3" s="1"/>
  <c r="M4" i="2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<sst xmlns="http://schemas.openxmlformats.org/spreadsheetml/2006/main" count="439" uniqueCount="375">
  <si>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</si>
  <si>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</si>
  <si>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</si>
  <si>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</si>
  <si>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</si>
  <si>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</si>
  <si>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</si>
  <si>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</si>
  <si>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</si>
  <si>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</si>
  <si>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</si>
  <si>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</si>
  <si>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</si>
  <si>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</si>
  <si>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</si>
  <si>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</si>
  <si>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</si>
  <si>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</si>
  <si>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</si>
  <si>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</si>
  <si>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</si>
  <si>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</si>
  <si>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</si>
  <si>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</si>
  <si>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</si>
  <si>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</si>
  <si>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</si>
  <si>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</si>
  <si>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</si>
  <si>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</si>
  <si>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</si>
  <si>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</si>
  <si>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</si>
  <si>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</si>
  <si>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</si>
  <si>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</si>
  <si>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</si>
  <si>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</si>
  <si>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</si>
  <si>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</si>
  <si>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</si>
  <si>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</si>
  <si>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</si>
  <si>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</si>
  <si>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</si>
  <si>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</si>
  <si>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</si>
  <si>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</si>
  <si>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</si>
  <si>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</si>
  <si>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</si>
  <si>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</si>
  <si>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</si>
  <si>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</si>
  <si>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</si>
  <si>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</si>
  <si>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</si>
  <si>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</si>
  <si>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</si>
  <si>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</si>
  <si>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</si>
  <si>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</si>
  <si>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</si>
  <si>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</si>
  <si>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</si>
  <si>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</si>
  <si>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</si>
  <si>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</si>
  <si>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</si>
  <si>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</si>
  <si>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</si>
  <si>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</si>
  <si>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</si>
  <si>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</si>
  <si>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</si>
  <si>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</si>
  <si>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</si>
  <si>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</si>
  <si>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</si>
  <si>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</si>
  <si>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</si>
  <si>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</si>
  <si>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</si>
  <si>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</si>
  <si>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</si>
  <si>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</si>
  <si>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</si>
  <si>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</si>
  <si>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</si>
  <si>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</si>
  <si>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</si>
  <si>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</si>
  <si>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</si>
  <si>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</si>
  <si>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</si>
  <si>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</si>
  <si>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</si>
  <si>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</si>
  <si>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</si>
  <si>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</si>
  <si>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</si>
  <si>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</si>
  <si>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</si>
  <si>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</si>
  <si>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</si>
  <si>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</si>
  <si>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</si>
  <si>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</si>
  <si>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</si>
  <si>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</si>
  <si>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</si>
  <si>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</si>
  <si>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</si>
  <si>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</si>
  <si>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</si>
  <si>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</si>
  <si>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</si>
  <si>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</si>
  <si>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</si>
  <si>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</si>
  <si>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</si>
  <si>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</si>
  <si>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</si>
  <si>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</si>
  <si>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</si>
  <si>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</si>
  <si>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</si>
  <si>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</si>
  <si>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</si>
  <si>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</si>
  <si>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</si>
  <si>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</si>
  <si>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</si>
  <si>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</si>
  <si>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</si>
  <si>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</si>
  <si>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</si>
  <si>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</si>
  <si>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</si>
  <si>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</si>
  <si>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</si>
  <si>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</si>
  <si>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</si>
  <si>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</si>
  <si>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</si>
  <si>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</si>
  <si>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</si>
  <si>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</si>
  <si>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</si>
  <si>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</si>
  <si>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</si>
  <si>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</si>
  <si>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</si>
  <si>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</si>
  <si>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</si>
  <si>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</si>
  <si>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</si>
  <si>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</si>
  <si>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</si>
  <si>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</si>
  <si>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</si>
  <si>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</si>
  <si>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</si>
  <si>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</si>
  <si>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</si>
  <si>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</si>
  <si>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</si>
  <si>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</si>
  <si>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</si>
  <si>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</si>
  <si>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</si>
  <si>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</si>
  <si>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</si>
  <si>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</si>
  <si>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</si>
  <si>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</si>
  <si>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</si>
  <si>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</si>
  <si>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</si>
  <si>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</si>
  <si>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</si>
  <si>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</si>
  <si>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</si>
  <si>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</si>
  <si>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</si>
  <si>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</si>
  <si>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</si>
  <si>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</si>
  <si>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</si>
  <si>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</si>
  <si>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</si>
  <si>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</si>
  <si>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</si>
  <si>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</si>
  <si>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</si>
  <si>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</si>
  <si>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</si>
  <si>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</si>
  <si>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</si>
  <si>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</si>
  <si>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</si>
  <si>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</si>
  <si>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</si>
  <si>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</si>
  <si>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</si>
  <si>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</si>
  <si>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</si>
  <si>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</si>
  <si>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</si>
  <si>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</si>
  <si>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</si>
  <si>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</si>
  <si>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</si>
  <si>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</si>
  <si>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</si>
  <si>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</si>
  <si>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</si>
  <si>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</si>
  <si>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</si>
  <si>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</si>
  <si>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</si>
  <si>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</si>
  <si>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</si>
  <si>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</si>
  <si>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</si>
  <si>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</si>
  <si>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</si>
  <si>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</si>
  <si>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</si>
  <si>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</si>
  <si>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</si>
  <si>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</si>
  <si>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</si>
  <si>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</si>
  <si>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</si>
  <si>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</si>
  <si>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</si>
  <si>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</si>
  <si>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</si>
  <si>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</si>
  <si>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</si>
  <si>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</si>
  <si>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</si>
  <si>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</si>
  <si>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</si>
  <si>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</si>
  <si>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</si>
  <si>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</si>
  <si>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</si>
  <si>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</si>
  <si>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</si>
  <si>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</si>
  <si>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</si>
  <si>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</si>
  <si>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</si>
  <si>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</si>
  <si>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</si>
  <si>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</si>
  <si>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</si>
  <si>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</si>
  <si>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</si>
  <si>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</si>
  <si>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</si>
  <si>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</si>
  <si>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</si>
  <si>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</si>
  <si>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</si>
  <si>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</si>
  <si>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</si>
  <si>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</si>
  <si>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</si>
  <si>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</si>
  <si>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</si>
  <si>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</si>
  <si>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</si>
  <si>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</si>
  <si>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</si>
  <si>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</si>
  <si>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</si>
  <si>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</si>
  <si>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</si>
  <si>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</si>
  <si>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</si>
  <si>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</si>
  <si>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</si>
  <si>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</si>
  <si>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</si>
  <si>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</si>
  <si>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</si>
  <si>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</si>
  <si>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</si>
  <si>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</si>
  <si>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</si>
  <si>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</si>
  <si>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</si>
  <si>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</si>
  <si>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</si>
  <si>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</si>
  <si>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</si>
  <si>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</si>
  <si>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</si>
  <si>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</si>
  <si>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</si>
  <si>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</si>
  <si>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</si>
  <si>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</si>
  <si>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</si>
  <si>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</si>
  <si>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</si>
  <si>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</si>
  <si>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</si>
  <si>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</si>
  <si>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</si>
  <si>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</si>
  <si>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</si>
  <si>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</si>
  <si>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</si>
  <si>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</si>
  <si>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</si>
  <si>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</si>
  <si>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</si>
  <si>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</si>
  <si>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</si>
  <si>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</si>
  <si>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</si>
  <si>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</si>
  <si>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</si>
  <si>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</si>
  <si>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</si>
  <si>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</si>
  <si>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</si>
  <si>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</si>
  <si>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</si>
  <si>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</si>
  <si>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Available Scenarios</t>
  </si>
  <si>
    <t>One Floor STR + One Floor Co-Living</t>
  </si>
  <si>
    <t>Whole Building STR</t>
  </si>
  <si>
    <t>Existing co-living rent schedule remains controlling.</t>
  </si>
  <si>
    <t>One full floor rented weekly as STR; other floor remains co-living/medium-term.</t>
  </si>
  <si>
    <t>Entire building rented weekly as STR.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</si>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</sst>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1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10" fillId="0" borderId="0" xfId="0" applyFont="1"/>
    <xf numFmtId="0" fontId="0" fillId="0" borderId="0" xfId="0"/>
    <xf numFmtId="0" fontId="3" fillId="0" borderId="0" xfId="0" applyFont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firstButton="1" fmlaLink="Waterfall!$R$3" lockText="1" noThreeD="1"/>
</file>

<file path=xl/ctrlProps/ctrlProp4.xml><?xml version="1.0" encoding="utf-8"?>
<formControlPr xmlns="http://schemas.microsoft.com/office/spreadsheetml/2009/9/main" objectType="Radio" firstButton="1" fmlaLink="Waterfall!$S$3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370</v>
      </c>
    </row>
    <row r="3" spans="1:1" x14ac:dyDescent="0.25">
      <c r="A3" t="s">
        <v>371</v>
      </c>
    </row>
    <row r="5" spans="1:1" x14ac:dyDescent="0.25">
      <c r="A5" t="s">
        <v>372</v>
      </c>
    </row>
    <row r="7" spans="1:1" x14ac:dyDescent="0.25">
      <c r="A7" t="s">
        <v>373</v>
      </c>
    </row>
    <row r="9" spans="1:1" x14ac:dyDescent="0.25">
      <c r="A9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L34"/>
  <sheetViews>
    <sheetView tabSelected="1" workbookViewId="0">
      <selection activeCell="D4" sqref="D4:F4"/>
    </sheetView>
  </sheetViews>
  <sheetFormatPr defaultRowHeight="15" x14ac:dyDescent="0.25"/>
  <cols>
    <col min="1" max="1" width="7.28515625" bestFit="1" customWidth="1"/>
    <col min="2" max="2" width="12" bestFit="1" customWidth="1"/>
    <col min="3" max="3" width="15.85546875" customWidth="1"/>
    <col min="4" max="4" width="24.5703125" bestFit="1" customWidth="1"/>
    <col min="5" max="5" width="19.85546875" customWidth="1"/>
    <col min="6" max="6" width="14.140625" customWidth="1"/>
    <col min="7" max="7" width="13.140625" customWidth="1"/>
    <col min="8" max="8" width="15" customWidth="1"/>
    <col min="9" max="9" width="15.5703125" customWidth="1"/>
    <col min="10" max="10" width="16" customWidth="1"/>
    <col min="11" max="11" width="17.7109375" customWidth="1"/>
    <col min="12" max="12" width="12.42578125" customWidth="1"/>
  </cols>
  <sheetData>
    <row r="1" spans="1:7" ht="21" x14ac:dyDescent="0.35">
      <c r="A1" s="67" t="s">
        <v>329</v>
      </c>
      <c r="B1" s="68"/>
      <c r="C1" s="68"/>
    </row>
    <row r="2" spans="1:7" x14ac:dyDescent="0.25">
      <c r="B2" s="68" t="s">
        <v>333</v>
      </c>
      <c r="C2" s="68"/>
      <c r="D2" s="68"/>
    </row>
    <row r="3" spans="1:7" ht="15.75" thickBot="1" x14ac:dyDescent="0.3">
      <c r="A3" s="68" t="s">
        <v>330</v>
      </c>
      <c r="B3" s="68"/>
      <c r="C3" s="68"/>
    </row>
    <row r="4" spans="1:7" ht="15.75" thickBot="1" x14ac:dyDescent="0.3">
      <c r="A4" s="68" t="s">
        <v>331</v>
      </c>
      <c r="B4" s="68"/>
      <c r="C4" s="68"/>
      <c r="D4" s="70" t="s">
        <v>332</v>
      </c>
      <c r="E4" s="71"/>
      <c r="F4" s="72"/>
    </row>
    <row r="5" spans="1:7" x14ac:dyDescent="0.25">
      <c r="A5" s="68"/>
      <c r="B5" s="68"/>
      <c r="C5" s="68"/>
    </row>
    <row r="6" spans="1:7" x14ac:dyDescent="0.25">
      <c r="A6" s="68" t="s">
        <v>334</v>
      </c>
      <c r="B6" s="68"/>
      <c r="C6" s="68"/>
    </row>
    <row r="7" spans="1:7" x14ac:dyDescent="0.25">
      <c r="A7" s="68" t="s">
        <v>332</v>
      </c>
      <c r="B7" s="68"/>
      <c r="C7" s="68"/>
      <c r="D7" s="68" t="s">
        <v>337</v>
      </c>
      <c r="E7" s="68"/>
      <c r="F7" s="68"/>
    </row>
    <row r="8" spans="1:7" x14ac:dyDescent="0.25">
      <c r="A8" s="68" t="s">
        <v>335</v>
      </c>
      <c r="B8" s="68"/>
      <c r="C8" s="68"/>
      <c r="D8" s="68" t="s">
        <v>338</v>
      </c>
      <c r="E8" s="68"/>
      <c r="F8" s="68"/>
    </row>
    <row r="9" spans="1:7" x14ac:dyDescent="0.25">
      <c r="A9" s="68" t="s">
        <v>336</v>
      </c>
      <c r="B9" s="68"/>
      <c r="C9" s="68"/>
      <c r="D9" s="68" t="s">
        <v>339</v>
      </c>
      <c r="E9" s="68"/>
      <c r="F9" s="68"/>
    </row>
    <row r="12" spans="1:7" x14ac:dyDescent="0.25">
      <c r="A12" s="69" t="s">
        <v>340</v>
      </c>
      <c r="B12" s="69"/>
      <c r="C12" s="69"/>
    </row>
    <row r="13" spans="1:7" x14ac:dyDescent="0.25">
      <c r="A13" s="68" t="s">
        <v>341</v>
      </c>
      <c r="B13" s="68"/>
      <c r="C13" s="68"/>
      <c r="D13" s="12" t="s">
        <v>342</v>
      </c>
      <c r="E13" s="12" t="s">
        <v>343</v>
      </c>
      <c r="F13" s="12" t="s">
        <v>344</v>
      </c>
      <c r="G13" s="12" t="s">
        <v>292</v>
      </c>
    </row>
    <row r="14" spans="1:7" x14ac:dyDescent="0.25">
      <c r="A14" s="68" t="s">
        <v>345</v>
      </c>
      <c r="B14" s="68"/>
      <c r="C14" s="68"/>
      <c r="D14" s="2">
        <v>2500</v>
      </c>
      <c r="E14" s="2">
        <v>3250</v>
      </c>
      <c r="F14" s="2">
        <v>4000</v>
      </c>
      <c r="G14" t="s">
        <v>346</v>
      </c>
    </row>
    <row r="15" spans="1:7" x14ac:dyDescent="0.25">
      <c r="A15" s="68" t="s">
        <v>347</v>
      </c>
      <c r="B15" s="68"/>
      <c r="C15" s="68"/>
      <c r="D15" s="63">
        <v>0.4</v>
      </c>
      <c r="E15" s="63">
        <v>0.5</v>
      </c>
      <c r="F15" s="63">
        <v>0.6</v>
      </c>
      <c r="G15" t="s">
        <v>348</v>
      </c>
    </row>
    <row r="16" spans="1:7" x14ac:dyDescent="0.25">
      <c r="A16" s="68" t="s">
        <v>349</v>
      </c>
      <c r="B16" s="68"/>
      <c r="C16" s="68"/>
      <c r="D16" s="2">
        <v>4500</v>
      </c>
      <c r="E16" s="2">
        <v>6000</v>
      </c>
      <c r="F16" s="2">
        <v>7500</v>
      </c>
      <c r="G16" t="s">
        <v>350</v>
      </c>
    </row>
    <row r="17" spans="1:12" x14ac:dyDescent="0.25">
      <c r="A17" s="68" t="s">
        <v>351</v>
      </c>
      <c r="B17" s="68"/>
      <c r="C17" s="68"/>
      <c r="D17" s="63">
        <v>0.35</v>
      </c>
      <c r="E17" s="63">
        <v>0.45</v>
      </c>
      <c r="F17" s="63">
        <v>0.55000000000000004</v>
      </c>
      <c r="G17" t="s">
        <v>348</v>
      </c>
    </row>
    <row r="18" spans="1:12" x14ac:dyDescent="0.25">
      <c r="A18" s="68" t="s">
        <v>352</v>
      </c>
      <c r="B18" s="68"/>
      <c r="C18" s="68"/>
      <c r="D18" s="63">
        <v>0.08</v>
      </c>
      <c r="E18" s="63">
        <v>0.09</v>
      </c>
      <c r="F18" s="63">
        <v>0.1</v>
      </c>
      <c r="G18" t="s">
        <v>353</v>
      </c>
    </row>
    <row r="19" spans="1:12" x14ac:dyDescent="0.25">
      <c r="A19" s="68" t="s">
        <v>354</v>
      </c>
      <c r="B19" s="68"/>
      <c r="C19" s="68"/>
      <c r="D19" s="2">
        <v>250</v>
      </c>
      <c r="E19" s="2">
        <v>300</v>
      </c>
      <c r="F19" s="2">
        <v>350</v>
      </c>
      <c r="G19" t="s">
        <v>355</v>
      </c>
    </row>
    <row r="23" spans="1:12" x14ac:dyDescent="0.25">
      <c r="A23" s="69" t="s">
        <v>356</v>
      </c>
      <c r="B23" s="69"/>
      <c r="C23" s="69"/>
    </row>
    <row r="24" spans="1:12" s="66" customFormat="1" ht="45" x14ac:dyDescent="0.25">
      <c r="A24" s="66" t="s">
        <v>55</v>
      </c>
      <c r="B24" s="66" t="s">
        <v>357</v>
      </c>
      <c r="C24" s="66" t="s">
        <v>358</v>
      </c>
      <c r="D24" s="66" t="s">
        <v>359</v>
      </c>
      <c r="E24" s="66" t="s">
        <v>360</v>
      </c>
      <c r="F24" s="66" t="s">
        <v>361</v>
      </c>
      <c r="G24" s="66" t="s">
        <v>362</v>
      </c>
      <c r="H24" s="66" t="s">
        <v>363</v>
      </c>
      <c r="I24" s="66" t="s">
        <v>364</v>
      </c>
      <c r="J24" s="66" t="s">
        <v>365</v>
      </c>
      <c r="K24" s="66" t="s">
        <v>366</v>
      </c>
      <c r="L24" s="66" t="s">
        <v>367</v>
      </c>
    </row>
    <row r="25" spans="1:12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2">
        <f>STRScenarioTable[[#This Row],[Base Monthly Gross Rent]]*12</f>
        <v>105600</v>
      </c>
      <c r="E25" s="2">
        <f>IF(STRScenarioTable[[#This Row],[Year]]&gt;=3,$F$14,IF(STRScenarioTable[[#This Row],[Year]]&gt;=2,$E$14,$D$14))</f>
        <v>2500</v>
      </c>
      <c r="F25" s="63">
        <f>IF(STRScenarioTable[[#This Row],[Year]]&gt;=3,$F$15,IF(STRScenarioTable[[#This Row],[Year]]&gt;=2,$E$15,$D$15))</f>
        <v>0.4</v>
      </c>
      <c r="G25" s="2">
        <f>STRScenarioTable[[#This Row],[Base Annual Gross Rent]]/2</f>
        <v>52800</v>
      </c>
      <c r="H25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2">
        <f>IF(STRScenarioTable[[#This Row],[Year]]&gt;=3,$F$16,IF(STRScenarioTable[[#This Row],[Year]]&gt;=2,$E$16,$D$16))</f>
        <v>4500</v>
      </c>
      <c r="J25" s="63">
        <f>IF(STRScenarioTable[[#This Row],[Year]]&gt;=3,$F$17,IF(STRScenarioTable[[#This Row],[Year]]&gt;=2,$E$17,$D$17))</f>
        <v>0.35</v>
      </c>
      <c r="K25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105600</v>
      </c>
    </row>
    <row r="26" spans="1:12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2">
        <f>STRScenarioTable[[#This Row],[Base Monthly Gross Rent]]*12</f>
        <v>129600</v>
      </c>
      <c r="E26" s="2">
        <f>IF(STRScenarioTable[[#This Row],[Year]]&gt;=3,$F$14,IF(STRScenarioTable[[#This Row],[Year]]&gt;=2,$E$14,$D$14))</f>
        <v>3250</v>
      </c>
      <c r="F26" s="63">
        <f>IF(STRScenarioTable[[#This Row],[Year]]&gt;=3,$F$15,IF(STRScenarioTable[[#This Row],[Year]]&gt;=2,$E$15,$D$15))</f>
        <v>0.5</v>
      </c>
      <c r="G26" s="2">
        <f>STRScenarioTable[[#This Row],[Base Annual Gross Rent]]/2</f>
        <v>64800</v>
      </c>
      <c r="H26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2">
        <f>IF(STRScenarioTable[[#This Row],[Year]]&gt;=3,$F$16,IF(STRScenarioTable[[#This Row],[Year]]&gt;=2,$E$16,$D$16))</f>
        <v>6000</v>
      </c>
      <c r="J26" s="63">
        <f>IF(STRScenarioTable[[#This Row],[Year]]&gt;=3,$F$17,IF(STRScenarioTable[[#This Row],[Year]]&gt;=2,$E$17,$D$17))</f>
        <v>0.45</v>
      </c>
      <c r="K26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129600</v>
      </c>
    </row>
    <row r="27" spans="1:12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2">
        <f>STRScenarioTable[[#This Row],[Base Monthly Gross Rent]]*12</f>
        <v>144000</v>
      </c>
      <c r="E27" s="2">
        <f>IF(STRScenarioTable[[#This Row],[Year]]&gt;=3,$F$14,IF(STRScenarioTable[[#This Row],[Year]]&gt;=2,$E$14,$D$14))</f>
        <v>4000</v>
      </c>
      <c r="F27" s="63">
        <f>IF(STRScenarioTable[[#This Row],[Year]]&gt;=3,$F$15,IF(STRScenarioTable[[#This Row],[Year]]&gt;=2,$E$15,$D$15))</f>
        <v>0.6</v>
      </c>
      <c r="G27" s="2">
        <f>STRScenarioTable[[#This Row],[Base Annual Gross Rent]]/2</f>
        <v>72000</v>
      </c>
      <c r="H27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2">
        <f>IF(STRScenarioTable[[#This Row],[Year]]&gt;=3,$F$16,IF(STRScenarioTable[[#This Row],[Year]]&gt;=2,$E$16,$D$16))</f>
        <v>7500</v>
      </c>
      <c r="J27" s="63">
        <f>IF(STRScenarioTable[[#This Row],[Year]]&gt;=3,$F$17,IF(STRScenarioTable[[#This Row],[Year]]&gt;=2,$E$17,$D$17))</f>
        <v>0.55000000000000004</v>
      </c>
      <c r="K27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28" spans="1:12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2">
        <f>STRScenarioTable[[#This Row],[Base Monthly Gross Rent]]*12</f>
        <v>144000</v>
      </c>
      <c r="E28" s="2">
        <f>IF(STRScenarioTable[[#This Row],[Year]]&gt;=3,$F$14,IF(STRScenarioTable[[#This Row],[Year]]&gt;=2,$E$14,$D$14))</f>
        <v>4000</v>
      </c>
      <c r="F28" s="63">
        <f>IF(STRScenarioTable[[#This Row],[Year]]&gt;=3,$F$15,IF(STRScenarioTable[[#This Row],[Year]]&gt;=2,$E$15,$D$15))</f>
        <v>0.6</v>
      </c>
      <c r="G28" s="2">
        <f>STRScenarioTable[[#This Row],[Base Annual Gross Rent]]/2</f>
        <v>72000</v>
      </c>
      <c r="H28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2">
        <f>IF(STRScenarioTable[[#This Row],[Year]]&gt;=3,$F$16,IF(STRScenarioTable[[#This Row],[Year]]&gt;=2,$E$16,$D$16))</f>
        <v>7500</v>
      </c>
      <c r="J28" s="63">
        <f>IF(STRScenarioTable[[#This Row],[Year]]&gt;=3,$F$17,IF(STRScenarioTable[[#This Row],[Year]]&gt;=2,$E$17,$D$17))</f>
        <v>0.55000000000000004</v>
      </c>
      <c r="K28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29" spans="1:12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2">
        <f>STRScenarioTable[[#This Row],[Base Monthly Gross Rent]]*12</f>
        <v>144000</v>
      </c>
      <c r="E29" s="2">
        <f>IF(STRScenarioTable[[#This Row],[Year]]&gt;=3,$F$14,IF(STRScenarioTable[[#This Row],[Year]]&gt;=2,$E$14,$D$14))</f>
        <v>4000</v>
      </c>
      <c r="F29" s="63">
        <f>IF(STRScenarioTable[[#This Row],[Year]]&gt;=3,$F$15,IF(STRScenarioTable[[#This Row],[Year]]&gt;=2,$E$15,$D$15))</f>
        <v>0.6</v>
      </c>
      <c r="G29" s="2">
        <f>STRScenarioTable[[#This Row],[Base Annual Gross Rent]]/2</f>
        <v>72000</v>
      </c>
      <c r="H29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2">
        <f>IF(STRScenarioTable[[#This Row],[Year]]&gt;=3,$F$16,IF(STRScenarioTable[[#This Row],[Year]]&gt;=2,$E$16,$D$16))</f>
        <v>7500</v>
      </c>
      <c r="J29" s="63">
        <f>IF(STRScenarioTable[[#This Row],[Year]]&gt;=3,$F$17,IF(STRScenarioTable[[#This Row],[Year]]&gt;=2,$E$17,$D$17))</f>
        <v>0.55000000000000004</v>
      </c>
      <c r="K29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0" spans="1:12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2">
        <f>STRScenarioTable[[#This Row],[Base Monthly Gross Rent]]*12</f>
        <v>144000</v>
      </c>
      <c r="E30" s="2">
        <f>IF(STRScenarioTable[[#This Row],[Year]]&gt;=3,$F$14,IF(STRScenarioTable[[#This Row],[Year]]&gt;=2,$E$14,$D$14))</f>
        <v>4000</v>
      </c>
      <c r="F30" s="63">
        <f>IF(STRScenarioTable[[#This Row],[Year]]&gt;=3,$F$15,IF(STRScenarioTable[[#This Row],[Year]]&gt;=2,$E$15,$D$15))</f>
        <v>0.6</v>
      </c>
      <c r="G30" s="2">
        <f>STRScenarioTable[[#This Row],[Base Annual Gross Rent]]/2</f>
        <v>72000</v>
      </c>
      <c r="H30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2">
        <f>IF(STRScenarioTable[[#This Row],[Year]]&gt;=3,$F$16,IF(STRScenarioTable[[#This Row],[Year]]&gt;=2,$E$16,$D$16))</f>
        <v>7500</v>
      </c>
      <c r="J30" s="63">
        <f>IF(STRScenarioTable[[#This Row],[Year]]&gt;=3,$F$17,IF(STRScenarioTable[[#This Row],[Year]]&gt;=2,$E$17,$D$17))</f>
        <v>0.55000000000000004</v>
      </c>
      <c r="K30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1" spans="1:12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2">
        <f>STRScenarioTable[[#This Row],[Base Monthly Gross Rent]]*12</f>
        <v>144000</v>
      </c>
      <c r="E31" s="2">
        <f>IF(STRScenarioTable[[#This Row],[Year]]&gt;=3,$F$14,IF(STRScenarioTable[[#This Row],[Year]]&gt;=2,$E$14,$D$14))</f>
        <v>4000</v>
      </c>
      <c r="F31" s="63">
        <f>IF(STRScenarioTable[[#This Row],[Year]]&gt;=3,$F$15,IF(STRScenarioTable[[#This Row],[Year]]&gt;=2,$E$15,$D$15))</f>
        <v>0.6</v>
      </c>
      <c r="G31" s="2">
        <f>STRScenarioTable[[#This Row],[Base Annual Gross Rent]]/2</f>
        <v>72000</v>
      </c>
      <c r="H31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2">
        <f>IF(STRScenarioTable[[#This Row],[Year]]&gt;=3,$F$16,IF(STRScenarioTable[[#This Row],[Year]]&gt;=2,$E$16,$D$16))</f>
        <v>7500</v>
      </c>
      <c r="J31" s="63">
        <f>IF(STRScenarioTable[[#This Row],[Year]]&gt;=3,$F$17,IF(STRScenarioTable[[#This Row],[Year]]&gt;=2,$E$17,$D$17))</f>
        <v>0.55000000000000004</v>
      </c>
      <c r="K31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2" spans="1:12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2">
        <f>STRScenarioTable[[#This Row],[Base Monthly Gross Rent]]*12</f>
        <v>144000</v>
      </c>
      <c r="E32" s="2">
        <f>IF(STRScenarioTable[[#This Row],[Year]]&gt;=3,$F$14,IF(STRScenarioTable[[#This Row],[Year]]&gt;=2,$E$14,$D$14))</f>
        <v>4000</v>
      </c>
      <c r="F32" s="63">
        <f>IF(STRScenarioTable[[#This Row],[Year]]&gt;=3,$F$15,IF(STRScenarioTable[[#This Row],[Year]]&gt;=2,$E$15,$D$15))</f>
        <v>0.6</v>
      </c>
      <c r="G32" s="2">
        <f>STRScenarioTable[[#This Row],[Base Annual Gross Rent]]/2</f>
        <v>72000</v>
      </c>
      <c r="H32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2">
        <f>IF(STRScenarioTable[[#This Row],[Year]]&gt;=3,$F$16,IF(STRScenarioTable[[#This Row],[Year]]&gt;=2,$E$16,$D$16))</f>
        <v>7500</v>
      </c>
      <c r="J32" s="63">
        <f>IF(STRScenarioTable[[#This Row],[Year]]&gt;=3,$F$17,IF(STRScenarioTable[[#This Row],[Year]]&gt;=2,$E$17,$D$17))</f>
        <v>0.55000000000000004</v>
      </c>
      <c r="K32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2">
        <f>STRScenarioTable[[#This Row],[Base Monthly Gross Rent]]*12</f>
        <v>144000</v>
      </c>
      <c r="E33" s="2">
        <f>IF(STRScenarioTable[[#This Row],[Year]]&gt;=3,$F$14,IF(STRScenarioTable[[#This Row],[Year]]&gt;=2,$E$14,$D$14))</f>
        <v>4000</v>
      </c>
      <c r="F33" s="63">
        <f>IF(STRScenarioTable[[#This Row],[Year]]&gt;=3,$F$15,IF(STRScenarioTable[[#This Row],[Year]]&gt;=2,$E$15,$D$15))</f>
        <v>0.6</v>
      </c>
      <c r="G33" s="2">
        <f>STRScenarioTable[[#This Row],[Base Annual Gross Rent]]/2</f>
        <v>72000</v>
      </c>
      <c r="H33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2">
        <f>IF(STRScenarioTable[[#This Row],[Year]]&gt;=3,$F$16,IF(STRScenarioTable[[#This Row],[Year]]&gt;=2,$E$16,$D$16))</f>
        <v>7500</v>
      </c>
      <c r="J33" s="63">
        <f>IF(STRScenarioTable[[#This Row],[Year]]&gt;=3,$F$17,IF(STRScenarioTable[[#This Row],[Year]]&gt;=2,$E$17,$D$17))</f>
        <v>0.55000000000000004</v>
      </c>
      <c r="K33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2">
        <f>STRScenarioTable[[#This Row],[Base Monthly Gross Rent]]*12</f>
        <v>144000</v>
      </c>
      <c r="E34" s="2">
        <f>IF(STRScenarioTable[[#This Row],[Year]]&gt;=3,$F$14,IF(STRScenarioTable[[#This Row],[Year]]&gt;=2,$E$14,$D$14))</f>
        <v>4000</v>
      </c>
      <c r="F34" s="63">
        <f>IF(STRScenarioTable[[#This Row],[Year]]&gt;=3,$F$15,IF(STRScenarioTable[[#This Row],[Year]]&gt;=2,$E$15,$D$15))</f>
        <v>0.6</v>
      </c>
      <c r="G34" s="2">
        <f>STRScenarioTable[[#This Row],[Base Annual Gross Rent]]/2</f>
        <v>72000</v>
      </c>
      <c r="H34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2">
        <f>IF(STRScenarioTable[[#This Row],[Year]]&gt;=3,$F$16,IF(STRScenarioTable[[#This Row],[Year]]&gt;=2,$E$16,$D$16))</f>
        <v>7500</v>
      </c>
      <c r="J34" s="63">
        <f>IF(STRScenarioTable[[#This Row],[Year]]&gt;=3,$F$17,IF(STRScenarioTable[[#This Row],[Year]]&gt;=2,$E$17,$D$17))</f>
        <v>0.55000000000000004</v>
      </c>
      <c r="K34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</sheetData>
  <mergeCells count="22">
    <mergeCell ref="A18:C18"/>
    <mergeCell ref="A13:C13"/>
    <mergeCell ref="A14:C14"/>
    <mergeCell ref="A15:C15"/>
    <mergeCell ref="A16:C16"/>
    <mergeCell ref="A17:C17"/>
    <mergeCell ref="A1:C1"/>
    <mergeCell ref="B2:D2"/>
    <mergeCell ref="A12:C12"/>
    <mergeCell ref="A23:C23"/>
    <mergeCell ref="D4:F4"/>
    <mergeCell ref="D7:F7"/>
    <mergeCell ref="D8:F8"/>
    <mergeCell ref="D9:F9"/>
    <mergeCell ref="A19:C19"/>
    <mergeCell ref="A3:C3"/>
    <mergeCell ref="A4:C4"/>
    <mergeCell ref="A5:C5"/>
    <mergeCell ref="A6:C6"/>
    <mergeCell ref="A7:C7"/>
    <mergeCell ref="A8:C8"/>
    <mergeCell ref="A9:C9"/>
  </mergeCells>
  <dataValidations count="1">
    <dataValidation type="list" allowBlank="1" showInputMessage="1" showErrorMessage="1" sqref="D4" xr:uid="{62811388-3308-4C55-A139-2B75AEB3359B}">
      <formula1>$A$7:$A$9</formula1>
    </dataValidation>
  </dataValidation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368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Base Co-Living / Medium-Term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369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75" t="s">
        <v>281</v>
      </c>
      <c r="E7" s="75"/>
      <c r="F7" s="75"/>
      <c r="G7" s="75"/>
      <c r="H7" s="75"/>
      <c r="I7" s="75"/>
      <c r="J7" s="75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73" t="s">
        <v>53</v>
      </c>
      <c r="C48" s="74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76" t="s">
        <v>54</v>
      </c>
      <c r="B1" s="68"/>
      <c r="C1" s="6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76" t="s">
        <v>68</v>
      </c>
      <c r="B1" s="68"/>
      <c r="C1" s="68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80" t="s">
        <v>267</v>
      </c>
      <c r="D2" s="78"/>
      <c r="E2" s="78"/>
      <c r="F2" s="78"/>
      <c r="G2" s="78"/>
      <c r="H2" s="78"/>
      <c r="I2" s="78"/>
      <c r="J2" s="77" t="s">
        <v>89</v>
      </c>
      <c r="K2" s="78"/>
      <c r="L2" s="78"/>
      <c r="M2" s="78"/>
      <c r="N2" s="79" t="s">
        <v>90</v>
      </c>
      <c r="O2" s="78"/>
      <c r="P2" s="78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76" t="s">
        <v>270</v>
      </c>
      <c r="B1" s="74"/>
      <c r="C1" s="74"/>
      <c r="D1" s="7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73" t="s">
        <v>266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81" t="s">
        <v>104</v>
      </c>
      <c r="C2" s="74"/>
      <c r="D2" s="74"/>
    </row>
    <row r="3" spans="1:10" x14ac:dyDescent="0.25">
      <c r="A3" s="13" t="s">
        <v>105</v>
      </c>
      <c r="B3" s="81" t="s">
        <v>106</v>
      </c>
      <c r="C3" s="74"/>
      <c r="D3" s="74"/>
      <c r="E3" s="74"/>
      <c r="F3" s="74"/>
      <c r="G3" s="74"/>
      <c r="H3" s="74"/>
      <c r="I3" s="74"/>
    </row>
    <row r="4" spans="1:10" x14ac:dyDescent="0.25">
      <c r="A4" s="13"/>
      <c r="B4" s="13"/>
      <c r="C4" s="81"/>
      <c r="D4" s="68"/>
      <c r="E4" s="68"/>
      <c r="F4" s="68"/>
      <c r="H4" s="13"/>
    </row>
    <row r="5" spans="1:10" ht="15.75" thickBot="1" x14ac:dyDescent="0.3">
      <c r="A5" s="13"/>
      <c r="B5" s="13"/>
      <c r="C5" s="81"/>
      <c r="D5" s="68"/>
      <c r="E5" s="68"/>
      <c r="F5" s="68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74" t="s">
        <v>160</v>
      </c>
      <c r="C62" s="74"/>
      <c r="D62" s="74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74" t="s">
        <v>164</v>
      </c>
      <c r="D66" s="74"/>
      <c r="E66" s="74"/>
      <c r="F66" s="74"/>
      <c r="G66" s="74"/>
    </row>
    <row r="67" spans="1:7" x14ac:dyDescent="0.25">
      <c r="A67" s="6" t="s">
        <v>165</v>
      </c>
      <c r="B67" s="6" t="s">
        <v>163</v>
      </c>
      <c r="C67" s="74" t="s">
        <v>164</v>
      </c>
      <c r="D67" s="74"/>
      <c r="E67" s="74"/>
      <c r="F67" s="74"/>
      <c r="G67" s="74"/>
    </row>
    <row r="68" spans="1:7" x14ac:dyDescent="0.25">
      <c r="A68" s="6" t="s">
        <v>166</v>
      </c>
      <c r="B68" s="6" t="s">
        <v>163</v>
      </c>
      <c r="C68" s="74" t="s">
        <v>164</v>
      </c>
      <c r="D68" s="74"/>
      <c r="E68" s="74"/>
      <c r="F68" s="74"/>
      <c r="G68" s="74"/>
    </row>
    <row r="69" spans="1:7" x14ac:dyDescent="0.25">
      <c r="A69" s="6" t="s">
        <v>167</v>
      </c>
      <c r="B69" s="6" t="s">
        <v>163</v>
      </c>
      <c r="C69" s="74" t="s">
        <v>164</v>
      </c>
      <c r="D69" s="74"/>
      <c r="E69" s="74"/>
      <c r="F69" s="74"/>
      <c r="G69" s="74"/>
    </row>
    <row r="70" spans="1:7" x14ac:dyDescent="0.25">
      <c r="A70" s="6" t="s">
        <v>168</v>
      </c>
      <c r="B70" s="6" t="s">
        <v>169</v>
      </c>
      <c r="C70" s="74" t="s">
        <v>170</v>
      </c>
      <c r="D70" s="74"/>
      <c r="E70" s="74"/>
      <c r="F70" s="74"/>
      <c r="G70" s="74"/>
    </row>
    <row r="71" spans="1:7" x14ac:dyDescent="0.25">
      <c r="A71" s="6" t="s">
        <v>171</v>
      </c>
      <c r="B71" s="6" t="s">
        <v>163</v>
      </c>
      <c r="C71" s="74" t="s">
        <v>172</v>
      </c>
      <c r="D71" s="74"/>
      <c r="E71" s="74"/>
      <c r="F71" s="74"/>
      <c r="G71" s="74"/>
    </row>
    <row r="72" spans="1:7" x14ac:dyDescent="0.25">
      <c r="A72" s="6" t="s">
        <v>173</v>
      </c>
      <c r="B72" s="6" t="s">
        <v>163</v>
      </c>
      <c r="C72" s="74" t="s">
        <v>174</v>
      </c>
      <c r="D72" s="74"/>
      <c r="E72" s="74"/>
      <c r="F72" s="74"/>
      <c r="G72" s="74"/>
    </row>
    <row r="73" spans="1:7" x14ac:dyDescent="0.25">
      <c r="A73" s="6" t="s">
        <v>175</v>
      </c>
      <c r="B73" s="6" t="s">
        <v>163</v>
      </c>
      <c r="C73" s="74" t="s">
        <v>176</v>
      </c>
      <c r="D73" s="74"/>
      <c r="E73" s="74"/>
      <c r="F73" s="74"/>
      <c r="G73" s="74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74" t="s">
        <v>179</v>
      </c>
      <c r="D76" s="74"/>
      <c r="E76" s="74"/>
      <c r="F76" s="74"/>
      <c r="G76" s="74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74" t="s">
        <v>185</v>
      </c>
      <c r="D81" s="74"/>
      <c r="E81" s="74"/>
      <c r="F81" s="74"/>
      <c r="G81" s="74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79</vt:i4>
      </vt:variant>
    </vt:vector>
  </HeadingPairs>
  <TitlesOfParts>
    <vt:vector size="88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2026-05-17T20:02:40Z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