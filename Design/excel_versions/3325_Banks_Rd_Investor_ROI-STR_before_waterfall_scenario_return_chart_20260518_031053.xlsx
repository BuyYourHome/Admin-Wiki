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94DAD255-BD27-4D47-BA12-218412E187CC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7" i="3"/>
  <c r="R27" i="3"/>
  <c r="Q27" i="3"/>
  <c r="D27" i="3"/>
  <c r="C27" i="3"/>
  <c r="C26" i="3"/>
  <c r="C24" i="3"/>
  <c r="B27" i="3"/>
  <c r="B26" i="3"/>
  <c r="B24" i="3"/>
  <c r="D24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6" i="3"/>
  <c r="N25" i="3"/>
  <c r="N24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7" i="3" s="1"/>
  <c r="D12" i="2"/>
  <c r="L27" i="3" s="1"/>
  <c r="P4" i="2"/>
  <c r="D11" i="2"/>
  <c r="K27" i="3" s="1"/>
  <c r="G4" i="2"/>
  <c r="O4" i="2"/>
  <c r="N5" i="3"/>
  <c r="D10" i="2"/>
  <c r="J27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7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6" i="3" s="1"/>
  <c r="M4" i="3"/>
  <c r="I4" i="3"/>
  <c r="E4" i="3"/>
  <c r="F5" i="3"/>
  <c r="C5" i="3" s="1"/>
  <c r="D14" i="2"/>
  <c r="N27" i="3" s="1"/>
  <c r="G10" i="6"/>
  <c r="B29" i="6" s="1"/>
  <c r="C5" i="2" l="1"/>
  <c r="D5" i="2" s="1"/>
  <c r="E27" i="3" s="1"/>
  <c r="L29" i="8"/>
  <c r="C9" i="2" s="1"/>
  <c r="D9" i="2" s="1"/>
  <c r="I27" i="3" s="1"/>
  <c r="L27" i="8"/>
  <c r="C7" i="2" s="1"/>
  <c r="D7" i="2" s="1"/>
  <c r="G27" i="3" s="1"/>
  <c r="L28" i="8"/>
  <c r="C8" i="2" s="1"/>
  <c r="D8" i="2" s="1"/>
  <c r="H27" i="3" s="1"/>
  <c r="M4" i="2"/>
  <c r="B10" i="7"/>
  <c r="B15" i="7" s="1"/>
  <c r="B41" i="1"/>
  <c r="J4" i="3" s="1"/>
  <c r="J5" i="3" s="1"/>
  <c r="B15" i="6"/>
  <c r="B14" i="6"/>
  <c r="O25" i="8" l="1"/>
  <c r="O27" i="3"/>
  <c r="P27" i="3" s="1"/>
  <c r="B25" i="3"/>
  <c r="D25" i="3" s="1"/>
  <c r="C25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6" i="3" s="1"/>
  <c r="H5" i="3"/>
  <c r="I5" i="3" s="1"/>
  <c r="E24" i="3" s="1"/>
  <c r="L5" i="3"/>
  <c r="M5" i="3" l="1"/>
  <c r="E25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24" i="3" s="1"/>
  <c r="O6" i="3"/>
  <c r="P6" i="3" s="1"/>
  <c r="J6" i="4" s="1"/>
  <c r="L6" i="3"/>
  <c r="M6" i="3" s="1"/>
  <c r="F25" i="3" s="1"/>
  <c r="J5" i="4" l="1"/>
  <c r="J4" i="4"/>
  <c r="M6" i="2"/>
  <c r="N6" i="2" s="1"/>
  <c r="J7" i="2" s="1"/>
  <c r="K7" i="2" s="1"/>
  <c r="F26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5" i="3" s="1"/>
  <c r="O7" i="3"/>
  <c r="P7" i="3" s="1"/>
  <c r="G26" i="3" s="1"/>
  <c r="M7" i="2" l="1"/>
  <c r="N7" i="2" s="1"/>
  <c r="J8" i="2" s="1"/>
  <c r="K8" i="2" s="1"/>
  <c r="G24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5" i="3" s="1"/>
  <c r="J9" i="3"/>
  <c r="O8" i="3" l="1"/>
  <c r="P8" i="3" s="1"/>
  <c r="H26" i="3" s="1"/>
  <c r="E8" i="3"/>
  <c r="H8" i="3"/>
  <c r="I8" i="3" s="1"/>
  <c r="L5" i="4"/>
  <c r="L6" i="4" l="1"/>
  <c r="L4" i="4"/>
  <c r="H24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6" i="3" s="1"/>
  <c r="H9" i="3"/>
  <c r="I9" i="3" s="1"/>
  <c r="I24" i="3" s="1"/>
  <c r="L9" i="3"/>
  <c r="M9" i="3" s="1"/>
  <c r="I25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24" i="3"/>
  <c r="N4" i="4"/>
  <c r="J25" i="3"/>
  <c r="N5" i="4"/>
  <c r="J26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6" i="3" l="1"/>
  <c r="O6" i="4"/>
  <c r="E11" i="3"/>
  <c r="H11" i="3"/>
  <c r="I11" i="3" s="1"/>
  <c r="L11" i="3"/>
  <c r="M11" i="3" s="1"/>
  <c r="R5" i="4"/>
  <c r="N14" i="2"/>
  <c r="R4" i="4"/>
  <c r="M11" i="2" l="1"/>
  <c r="N11" i="2" s="1"/>
  <c r="K24" i="3"/>
  <c r="O4" i="4"/>
  <c r="K25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6" i="3" s="1"/>
  <c r="E12" i="3"/>
  <c r="H12" i="3"/>
  <c r="I12" i="3" s="1"/>
  <c r="L12" i="3"/>
  <c r="M12" i="3" s="1"/>
  <c r="J13" i="3"/>
  <c r="P6" i="4" l="1"/>
  <c r="L25" i="3"/>
  <c r="P5" i="4"/>
  <c r="L24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24" i="3"/>
  <c r="Q4" i="4"/>
  <c r="G4" i="4" s="1"/>
  <c r="C4" i="4"/>
  <c r="M25" i="3"/>
  <c r="Q5" i="4"/>
  <c r="G5" i="4" s="1"/>
  <c r="C5" i="4"/>
  <c r="M26" i="3"/>
  <c r="Q6" i="4"/>
  <c r="G6" i="4" s="1"/>
  <c r="C6" i="4"/>
  <c r="E4" i="4" l="1"/>
  <c r="D4" i="4"/>
  <c r="F4" i="4" s="1"/>
  <c r="O26" i="3"/>
  <c r="S26" i="3"/>
  <c r="D5" i="4"/>
  <c r="F5" i="4" s="1"/>
  <c r="E5" i="4"/>
  <c r="O25" i="3"/>
  <c r="S25" i="3"/>
  <c r="E6" i="4"/>
  <c r="D6" i="4"/>
  <c r="F6" i="4" s="1"/>
  <c r="S24" i="3"/>
  <c r="O24" i="3"/>
  <c r="P24" i="3" l="1"/>
  <c r="Q24" i="3" s="1"/>
  <c r="R24" i="3"/>
  <c r="R25" i="3"/>
  <c r="P25" i="3"/>
  <c r="Q25" i="3" s="1"/>
  <c r="R26" i="3"/>
  <c r="P26" i="3"/>
  <c r="Q26" i="3" s="1"/>
</calcChain>
</file>

<file path=xl/sharedStrings.xml><?xml version="1.0" encoding="utf-8"?>
<sst xmlns="http://schemas.openxmlformats.org/spreadsheetml/2006/main" count="450" uniqueCount="378">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</sst>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3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1" fillId="9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9" fillId="0" borderId="0" xfId="0" applyFont="1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  <xf numFmtId="0" fontId="3" fillId="11" borderId="3" xfId="0" applyFont="1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0" fontId="3" fillId="12" borderId="3" xfId="0" applyFont="1" applyFill="1" applyBorder="1"/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0" fillId="0" borderId="20" xfId="0" applyBorder="1" applyAlignment="1"/>
    <xf numFmtId="0" fontId="0" fillId="0" borderId="4" xfId="0" applyBorder="1" applyAlignment="1"/>
    <xf numFmtId="0" fontId="3" fillId="3" borderId="3" xfId="0" applyFont="1" applyFill="1" applyBorder="1" applyAlignment="1"/>
    <xf numFmtId="0" fontId="0" fillId="3" borderId="20" xfId="0" applyFill="1" applyBorder="1" applyAlignment="1"/>
    <xf numFmtId="0" fontId="3" fillId="11" borderId="3" xfId="0" applyFont="1" applyFill="1" applyBorder="1" applyAlignment="1"/>
    <xf numFmtId="0" fontId="0" fillId="11" borderId="20" xfId="0" applyFill="1" applyBorder="1" applyAlignment="1"/>
    <xf numFmtId="0" fontId="3" fillId="12" borderId="3" xfId="0" applyFont="1" applyFill="1" applyBorder="1" applyAlignment="1"/>
    <xf numFmtId="0" fontId="0" fillId="12" borderId="20" xfId="0" applyFill="1" applyBorder="1" applyAlignment="1"/>
    <xf numFmtId="1" fontId="1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</xdr:row>
          <xdr:rowOff>152400</xdr:rowOff>
        </xdr:from>
        <xdr:to>
          <xdr:col>18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</xdr:row>
          <xdr:rowOff>190500</xdr:rowOff>
        </xdr:from>
        <xdr:to>
          <xdr:col>17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</xdr:row>
          <xdr:rowOff>190500</xdr:rowOff>
        </xdr:from>
        <xdr:to>
          <xdr:col>17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5</xdr:row>
          <xdr:rowOff>190500</xdr:rowOff>
        </xdr:from>
        <xdr:to>
          <xdr:col>17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6</xdr:row>
          <xdr:rowOff>180975</xdr:rowOff>
        </xdr:from>
        <xdr:to>
          <xdr:col>17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7</xdr:row>
          <xdr:rowOff>180975</xdr:rowOff>
        </xdr:from>
        <xdr:to>
          <xdr:col>17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8</xdr:row>
          <xdr:rowOff>180975</xdr:rowOff>
        </xdr:from>
        <xdr:to>
          <xdr:col>17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9</xdr:row>
          <xdr:rowOff>180975</xdr:rowOff>
        </xdr:from>
        <xdr:to>
          <xdr:col>17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10</xdr:row>
          <xdr:rowOff>180975</xdr:rowOff>
        </xdr:from>
        <xdr:to>
          <xdr:col>17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180975</xdr:rowOff>
        </xdr:from>
        <xdr:to>
          <xdr:col>17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12</xdr:row>
          <xdr:rowOff>180975</xdr:rowOff>
        </xdr:from>
        <xdr:to>
          <xdr:col>17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152400</xdr:rowOff>
        </xdr:from>
        <xdr:to>
          <xdr:col>1</xdr:col>
          <xdr:colOff>0</xdr:colOff>
          <xdr:row>17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16</xdr:row>
          <xdr:rowOff>180975</xdr:rowOff>
        </xdr:from>
        <xdr:to>
          <xdr:col>0</xdr:col>
          <xdr:colOff>590550</xdr:colOff>
          <xdr:row>18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17</xdr:row>
          <xdr:rowOff>180975</xdr:rowOff>
        </xdr:from>
        <xdr:to>
          <xdr:col>0</xdr:col>
          <xdr:colOff>590550</xdr:colOff>
          <xdr:row>19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18</xdr:row>
          <xdr:rowOff>180975</xdr:rowOff>
        </xdr:from>
        <xdr:to>
          <xdr:col>0</xdr:col>
          <xdr:colOff>590550</xdr:colOff>
          <xdr:row>20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23:S27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C24-B24</calculatedColumnFormula>
    </tableColumn>
    <tableColumn id="5" xr3:uid="{10FF1ED7-A502-4F2E-A54A-B0007AA7263A}" name="Year 1" dataDxfId="15">
      <calculatedColumnFormula>IFERROR(C24/B24,0)</calculatedColumnFormula>
    </tableColumn>
    <tableColumn id="6" xr3:uid="{ECDBC3DC-2987-4B43-8FA8-210E2BD2C527}" name="Year 2" dataDxfId="14">
      <calculatedColumnFormula>IFERROR(D24/B24,0)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1" t="s">
        <v>329</v>
      </c>
      <c r="B1" s="78"/>
      <c r="C1" s="78"/>
      <c r="D1" s="78"/>
    </row>
    <row r="2" spans="1:10" ht="15.75" thickBot="1" x14ac:dyDescent="0.3">
      <c r="B2" s="78" t="s">
        <v>333</v>
      </c>
      <c r="C2" s="78"/>
      <c r="D2" s="78"/>
    </row>
    <row r="3" spans="1:10" ht="15.75" thickBot="1" x14ac:dyDescent="0.3">
      <c r="A3" s="5" t="s">
        <v>330</v>
      </c>
      <c r="H3" s="71" t="s">
        <v>372</v>
      </c>
    </row>
    <row r="4" spans="1:10" ht="15.75" thickBot="1" x14ac:dyDescent="0.3">
      <c r="A4" t="s">
        <v>331</v>
      </c>
      <c r="D4" s="94" t="str">
        <f>IF(OR($H$4&lt;1,$H$4&gt;3),"",INDEX($B$7:$B$9,$H$4))</f>
        <v>Whole Building STR</v>
      </c>
      <c r="E4" s="95"/>
      <c r="F4" s="96"/>
      <c r="H4" s="74">
        <v>3</v>
      </c>
    </row>
    <row r="5" spans="1:10" ht="15.75" thickBot="1" x14ac:dyDescent="0.3"/>
    <row r="6" spans="1:10" ht="15.75" thickBot="1" x14ac:dyDescent="0.3">
      <c r="A6" s="12" t="s">
        <v>373</v>
      </c>
      <c r="B6" s="82" t="s">
        <v>374</v>
      </c>
      <c r="C6" s="83"/>
      <c r="D6" s="84"/>
      <c r="E6" s="82" t="s">
        <v>375</v>
      </c>
      <c r="F6" s="83"/>
      <c r="G6" s="83"/>
      <c r="H6" s="83"/>
      <c r="I6" s="83"/>
      <c r="J6" s="84"/>
    </row>
    <row r="7" spans="1:10" ht="15.75" thickBot="1" x14ac:dyDescent="0.3">
      <c r="B7" s="85" t="s">
        <v>332</v>
      </c>
      <c r="C7" s="86"/>
      <c r="D7" s="87"/>
      <c r="E7" s="85" t="s">
        <v>336</v>
      </c>
      <c r="F7" s="86"/>
      <c r="G7" s="86"/>
      <c r="H7" s="86"/>
      <c r="I7" s="86"/>
      <c r="J7" s="87"/>
    </row>
    <row r="8" spans="1:10" ht="15.75" thickBot="1" x14ac:dyDescent="0.3">
      <c r="B8" s="88" t="s">
        <v>334</v>
      </c>
      <c r="C8" s="89"/>
      <c r="D8" s="90"/>
      <c r="E8" s="88" t="s">
        <v>376</v>
      </c>
      <c r="F8" s="89"/>
      <c r="G8" s="89"/>
      <c r="H8" s="89"/>
      <c r="I8" s="89"/>
      <c r="J8" s="90"/>
    </row>
    <row r="9" spans="1:10" ht="15.75" thickBot="1" x14ac:dyDescent="0.3">
      <c r="B9" s="91" t="s">
        <v>335</v>
      </c>
      <c r="C9" s="92"/>
      <c r="D9" s="93"/>
      <c r="E9" s="91" t="s">
        <v>377</v>
      </c>
      <c r="F9" s="92"/>
      <c r="G9" s="92"/>
      <c r="H9" s="92"/>
      <c r="I9" s="92"/>
      <c r="J9" s="93"/>
    </row>
    <row r="12" spans="1:10" x14ac:dyDescent="0.25">
      <c r="A12" s="77" t="s">
        <v>337</v>
      </c>
      <c r="B12" s="77"/>
      <c r="C12" s="77"/>
    </row>
    <row r="13" spans="1:1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10" x14ac:dyDescent="0.25">
      <c r="A14" s="79" t="s">
        <v>342</v>
      </c>
      <c r="B14" s="79"/>
      <c r="C14" s="79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10" x14ac:dyDescent="0.25">
      <c r="A15" s="79" t="s">
        <v>344</v>
      </c>
      <c r="B15" s="79"/>
      <c r="C15" s="79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10" x14ac:dyDescent="0.25">
      <c r="A16" s="80" t="s">
        <v>346</v>
      </c>
      <c r="B16" s="80"/>
      <c r="C16" s="80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80" t="s">
        <v>348</v>
      </c>
      <c r="B17" s="80"/>
      <c r="C17" s="80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78" t="s">
        <v>349</v>
      </c>
      <c r="B18" s="78"/>
      <c r="C18" s="78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78" t="s">
        <v>351</v>
      </c>
      <c r="B19" s="78"/>
      <c r="C19" s="78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77" t="s">
        <v>353</v>
      </c>
      <c r="B23" s="77"/>
      <c r="C23" s="77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99" t="s">
        <v>281</v>
      </c>
      <c r="E7" s="99"/>
      <c r="F7" s="99"/>
      <c r="G7" s="99"/>
      <c r="H7" s="99"/>
      <c r="I7" s="99"/>
      <c r="J7" s="99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97" t="s">
        <v>53</v>
      </c>
      <c r="C48" s="98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0" t="s">
        <v>54</v>
      </c>
      <c r="B1" s="78"/>
      <c r="C1" s="7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7"/>
  <sheetViews>
    <sheetView tabSelected="1" workbookViewId="0">
      <selection activeCell="A2" sqref="A2:B2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22" width="8.7109375" style="6" customWidth="1"/>
    <col min="23" max="23" width="10.140625" style="6" customWidth="1"/>
    <col min="24" max="24" width="14.85546875" style="6" customWidth="1"/>
    <col min="25" max="25" width="13.85546875" style="6" customWidth="1"/>
    <col min="26" max="26" width="13" style="6" customWidth="1"/>
    <col min="27" max="27" width="11.28515625" style="6" customWidth="1"/>
    <col min="28" max="29" width="10.7109375" style="6" customWidth="1"/>
    <col min="30" max="30" width="15" style="6" customWidth="1"/>
    <col min="31" max="31" width="13" style="6" customWidth="1"/>
    <col min="32" max="16384" width="9.140625" style="6"/>
  </cols>
  <sheetData>
    <row r="1" spans="1:31" ht="15.75" thickBot="1" x14ac:dyDescent="0.3">
      <c r="B1" s="123"/>
      <c r="C1" s="123"/>
      <c r="D1" s="13"/>
      <c r="E1" s="13"/>
      <c r="F1" s="13"/>
      <c r="G1" s="13"/>
      <c r="H1" s="13"/>
      <c r="I1" s="13"/>
      <c r="J1" s="13"/>
      <c r="R1" s="13"/>
      <c r="S1" s="13"/>
    </row>
    <row r="2" spans="1:31" ht="19.5" thickBot="1" x14ac:dyDescent="0.35">
      <c r="A2" s="124" t="s">
        <v>68</v>
      </c>
      <c r="B2" s="125"/>
      <c r="C2" s="104" t="s">
        <v>267</v>
      </c>
      <c r="D2" s="102"/>
      <c r="E2" s="102"/>
      <c r="F2" s="102"/>
      <c r="G2" s="102"/>
      <c r="H2" s="102"/>
      <c r="I2" s="102"/>
      <c r="J2" s="101" t="s">
        <v>89</v>
      </c>
      <c r="K2" s="102"/>
      <c r="L2" s="102"/>
      <c r="M2" s="102"/>
      <c r="N2" s="103" t="s">
        <v>90</v>
      </c>
      <c r="O2" s="102"/>
      <c r="P2" s="102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122">
        <v>3</v>
      </c>
      <c r="S3" s="122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ht="15.75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thickBot="1" x14ac:dyDescent="0.3">
      <c r="A17" s="75" t="s">
        <v>373</v>
      </c>
      <c r="B17" s="82" t="s">
        <v>374</v>
      </c>
      <c r="C17" s="83"/>
      <c r="D17" s="84"/>
      <c r="E17" s="82" t="s">
        <v>375</v>
      </c>
      <c r="F17" s="83"/>
      <c r="G17" s="83"/>
      <c r="H17" s="83"/>
      <c r="I17" s="83"/>
      <c r="J17" s="83"/>
      <c r="K17" s="114"/>
      <c r="L17" s="115"/>
    </row>
    <row r="18" spans="1:19" s="14" customFormat="1" ht="15.75" thickBot="1" x14ac:dyDescent="0.3">
      <c r="A18" s="76"/>
      <c r="B18" s="85" t="s">
        <v>332</v>
      </c>
      <c r="C18" s="86"/>
      <c r="D18" s="87"/>
      <c r="E18" s="116" t="s">
        <v>336</v>
      </c>
      <c r="F18" s="117"/>
      <c r="G18" s="117"/>
      <c r="H18" s="117"/>
      <c r="I18" s="117"/>
      <c r="J18" s="117"/>
      <c r="K18" s="114"/>
      <c r="L18" s="115"/>
      <c r="M18" s="6"/>
      <c r="N18" s="6"/>
      <c r="O18" s="6"/>
      <c r="P18" s="6"/>
      <c r="Q18" s="6"/>
      <c r="R18" s="6"/>
    </row>
    <row r="19" spans="1:19" ht="15.75" thickBot="1" x14ac:dyDescent="0.3">
      <c r="A19" s="106"/>
      <c r="B19" s="107" t="s">
        <v>334</v>
      </c>
      <c r="C19" s="108"/>
      <c r="D19" s="109"/>
      <c r="E19" s="118" t="s">
        <v>376</v>
      </c>
      <c r="F19" s="119"/>
      <c r="G19" s="119"/>
      <c r="H19" s="119"/>
      <c r="I19" s="119"/>
      <c r="J19" s="119"/>
      <c r="K19" s="114"/>
      <c r="L19" s="115"/>
    </row>
    <row r="20" spans="1:19" ht="15.75" thickBot="1" x14ac:dyDescent="0.3">
      <c r="A20" s="110"/>
      <c r="B20" s="111" t="s">
        <v>335</v>
      </c>
      <c r="C20" s="112"/>
      <c r="D20" s="113"/>
      <c r="E20" s="120" t="s">
        <v>377</v>
      </c>
      <c r="F20" s="121"/>
      <c r="G20" s="121"/>
      <c r="H20" s="121"/>
      <c r="I20" s="121"/>
      <c r="J20" s="121"/>
      <c r="K20" s="114"/>
      <c r="L20" s="115"/>
    </row>
    <row r="22" spans="1:19" x14ac:dyDescent="0.25">
      <c r="A22" s="5" t="s">
        <v>269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5" x14ac:dyDescent="0.25">
      <c r="A23" s="57" t="s">
        <v>70</v>
      </c>
      <c r="B23" s="58" t="s">
        <v>305</v>
      </c>
      <c r="C23" s="58" t="s">
        <v>306</v>
      </c>
      <c r="D23" s="58" t="s">
        <v>307</v>
      </c>
      <c r="E23" s="58" t="s">
        <v>78</v>
      </c>
      <c r="F23" s="58" t="s">
        <v>79</v>
      </c>
      <c r="G23" s="58" t="s">
        <v>80</v>
      </c>
      <c r="H23" s="58" t="s">
        <v>81</v>
      </c>
      <c r="I23" s="58" t="s">
        <v>82</v>
      </c>
      <c r="J23" s="58" t="s">
        <v>83</v>
      </c>
      <c r="K23" s="58" t="s">
        <v>84</v>
      </c>
      <c r="L23" s="58" t="s">
        <v>85</v>
      </c>
      <c r="M23" s="58" t="s">
        <v>86</v>
      </c>
      <c r="N23" s="58" t="s">
        <v>87</v>
      </c>
      <c r="O23" s="58" t="s">
        <v>298</v>
      </c>
      <c r="P23" s="58" t="s">
        <v>299</v>
      </c>
      <c r="Q23" s="58" t="s">
        <v>74</v>
      </c>
      <c r="R23" s="59" t="s">
        <v>75</v>
      </c>
      <c r="S23" s="58" t="s">
        <v>76</v>
      </c>
    </row>
    <row r="24" spans="1:19" x14ac:dyDescent="0.25">
      <c r="A24" s="49" t="s">
        <v>88</v>
      </c>
      <c r="B24" s="41">
        <f>ClassACapital</f>
        <v>300000</v>
      </c>
      <c r="C24" s="41">
        <f>ClassACapital</f>
        <v>300000</v>
      </c>
      <c r="D24" s="41">
        <f>-ReturnsTable[[#This Row],[Capital Investment]]</f>
        <v>-300000</v>
      </c>
      <c r="E24" s="41">
        <f>IF(1&gt;SaleExitYear,0,INDEX(WaterfallTable[Total Dist A],MATCH(1,WaterfallTable[Year],0)))</f>
        <v>0</v>
      </c>
      <c r="F24" s="41">
        <f>IF(2&gt;SaleExitYear,0,INDEX(WaterfallTable[Total Dist A],MATCH(2,WaterfallTable[Year],0)))</f>
        <v>41781.439211589022</v>
      </c>
      <c r="G24" s="41">
        <f>IF(3&gt;SaleExitYear,0,INDEX(WaterfallTable[Total Dist A],MATCH(3,WaterfallTable[Year],0)))</f>
        <v>258218.56078841098</v>
      </c>
      <c r="H24" s="41">
        <f>IF(4&gt;SaleExitYear,0,INDEX(WaterfallTable[Total Dist A],MATCH(4,WaterfallTable[Year],0)))</f>
        <v>0</v>
      </c>
      <c r="I24" s="41">
        <f>IF(5&gt;SaleExitYear,0,INDEX(WaterfallTable[Total Dist A],MATCH(5,WaterfallTable[Year],0)))</f>
        <v>278057.43248614768</v>
      </c>
      <c r="J24" s="41">
        <f>IF(6&gt;SaleExitYear,0,INDEX(WaterfallTable[Total Dist A],MATCH(6,WaterfallTable[Year],0)))</f>
        <v>0</v>
      </c>
      <c r="K24" s="41">
        <f>IF(7&gt;SaleExitYear,0,INDEX(WaterfallTable[Total Dist A],MATCH(7,WaterfallTable[Year],0)))</f>
        <v>0</v>
      </c>
      <c r="L24" s="41">
        <f>IF(8&gt;SaleExitYear,0,INDEX(WaterfallTable[Total Dist A],MATCH(8,WaterfallTable[Year],0)))</f>
        <v>0</v>
      </c>
      <c r="M24" s="41">
        <f>IF(9&gt;SaleExitYear,0,INDEX(WaterfallTable[Total Dist A],MATCH(9,WaterfallTable[Year],0)))</f>
        <v>0</v>
      </c>
      <c r="N24" s="41">
        <f>IF(10&gt;SaleExitYear,0,INDEX(WaterfallTable[Total Dist A],MATCH(10,WaterfallTable[Year],0)))</f>
        <v>0</v>
      </c>
      <c r="O24" s="41">
        <f>SUM(ReturnsTable[[#This Row],[Initial Capitalization]:[Year 10]])</f>
        <v>278057.43248614768</v>
      </c>
      <c r="P24" s="41">
        <f>ReturnsTable[[#This Row],[Total Profit]]+ReturnsTable[[#This Row],[Capital Investment]]</f>
        <v>578057.43248614762</v>
      </c>
      <c r="Q24" s="42">
        <f>IFERROR(ReturnsTable[[#This Row],[Total Dist]]/ReturnsTable[[#This Row],[Capital Investment]],0)</f>
        <v>1.9268581082871588</v>
      </c>
      <c r="R24" s="53">
        <f>IFERROR(ReturnsTable[[#This Row],[Total Profit]]/ReturnsTable[[#This Row],[Capital Investment]],0)</f>
        <v>0.92685810828715898</v>
      </c>
      <c r="S24" s="60">
        <f>IFERROR(IRR(ReturnsTable[[#This Row],[Initial Capitalization]:[Year 10]]),0)</f>
        <v>0.18919673669698978</v>
      </c>
    </row>
    <row r="25" spans="1:19" x14ac:dyDescent="0.25">
      <c r="A25" s="50" t="s">
        <v>89</v>
      </c>
      <c r="B25" s="43">
        <f>ClassBCapital</f>
        <v>547500</v>
      </c>
      <c r="C25" s="43">
        <f>ClassBCapital</f>
        <v>547500</v>
      </c>
      <c r="D25" s="43">
        <f>-ReturnsTable[[#This Row],[Capital Investment]]</f>
        <v>-547500</v>
      </c>
      <c r="E25" s="43">
        <f>IF(1&gt;SaleExitYear,0,INDEX(WaterfallTable[Total Dist B],MATCH(1,WaterfallTable[Year],0)))</f>
        <v>0</v>
      </c>
      <c r="F25" s="43">
        <f>IF(2&gt;SaleExitYear,0,INDEX(WaterfallTable[Total Dist B],MATCH(2,WaterfallTable[Year],0)))</f>
        <v>0</v>
      </c>
      <c r="G25" s="43">
        <f>IF(3&gt;SaleExitYear,0,INDEX(WaterfallTable[Total Dist B],MATCH(3,WaterfallTable[Year],0)))</f>
        <v>314885.44678405975</v>
      </c>
      <c r="H25" s="43">
        <f>IF(4&gt;SaleExitYear,0,INDEX(WaterfallTable[Total Dist B],MATCH(4,WaterfallTable[Year],0)))</f>
        <v>34827.567572470594</v>
      </c>
      <c r="I25" s="43">
        <f>IF(5&gt;SaleExitYear,0,INDEX(WaterfallTable[Total Dist B],MATCH(5,WaterfallTable[Year],0)))</f>
        <v>536141.89005558123</v>
      </c>
      <c r="J25" s="43">
        <f>IF(6&gt;SaleExitYear,0,INDEX(WaterfallTable[Total Dist B],MATCH(6,WaterfallTable[Year],0)))</f>
        <v>0</v>
      </c>
      <c r="K25" s="43">
        <f>IF(7&gt;SaleExitYear,0,INDEX(WaterfallTable[Total Dist B],MATCH(7,WaterfallTable[Year],0)))</f>
        <v>0</v>
      </c>
      <c r="L25" s="43">
        <f>IF(8&gt;SaleExitYear,0,INDEX(WaterfallTable[Total Dist B],MATCH(8,WaterfallTable[Year],0)))</f>
        <v>0</v>
      </c>
      <c r="M25" s="43">
        <f>IF(9&gt;SaleExitYear,0,INDEX(WaterfallTable[Total Dist B],MATCH(9,WaterfallTable[Year],0)))</f>
        <v>0</v>
      </c>
      <c r="N25" s="43">
        <f>IF(10&gt;SaleExitYear,0,INDEX(WaterfallTable[Total Dist B],MATCH(10,WaterfallTable[Year],0)))</f>
        <v>0</v>
      </c>
      <c r="O25" s="43">
        <f>SUM(ReturnsTable[[#This Row],[Initial Capitalization]:[Year 10]])</f>
        <v>338354.90441211156</v>
      </c>
      <c r="P25" s="43">
        <f>ReturnsTable[[#This Row],[Total Profit]]+ReturnsTable[[#This Row],[Capital Investment]]</f>
        <v>885854.9044121115</v>
      </c>
      <c r="Q25" s="44">
        <f>IFERROR(ReturnsTable[[#This Row],[Total Dist]]/ReturnsTable[[#This Row],[Capital Investment]],0)</f>
        <v>1.6179998254102492</v>
      </c>
      <c r="R25" s="54">
        <f>IFERROR(ReturnsTable[[#This Row],[Total Profit]]/ReturnsTable[[#This Row],[Capital Investment]],0)</f>
        <v>0.61799982541024945</v>
      </c>
      <c r="S25" s="60">
        <f>IFERROR(IRR(ReturnsTable[[#This Row],[Initial Capitalization]:[Year 10]]),0)</f>
        <v>0.12146973485163892</v>
      </c>
    </row>
    <row r="26" spans="1:19" x14ac:dyDescent="0.25">
      <c r="A26" s="51" t="s">
        <v>90</v>
      </c>
      <c r="B26" s="45">
        <f>SponsorCapitalInvestment</f>
        <v>136283</v>
      </c>
      <c r="C26" s="45">
        <f>SponsorBasis</f>
        <v>100000</v>
      </c>
      <c r="D26" s="45">
        <f>INDEX(WaterfallTable[Total Dist2],MATCH(0,WaterfallTable[Year],0))-ReturnsTable[[#This Row],[Capital Investment]]</f>
        <v>-36283</v>
      </c>
      <c r="E26" s="45">
        <f>IF(1&gt;SaleExitYear,0,INDEX(WaterfallTable[Total Dist2],MATCH(1,WaterfallTable[Year],0)))</f>
        <v>0</v>
      </c>
      <c r="F26" s="45">
        <f>IF(2&gt;SaleExitYear,0,INDEX(WaterfallTable[Total Dist2],MATCH(2,WaterfallTable[Year],0)))</f>
        <v>0</v>
      </c>
      <c r="G26" s="45">
        <f>IF(3&gt;SaleExitYear,0,INDEX(WaterfallTable[Total Dist2],MATCH(3,WaterfallTable[Year],0)))</f>
        <v>0</v>
      </c>
      <c r="H26" s="45">
        <f>IF(4&gt;SaleExitYear,0,INDEX(WaterfallTable[Total Dist2],MATCH(4,WaterfallTable[Year],0)))</f>
        <v>0</v>
      </c>
      <c r="I26" s="45">
        <f>IF(5&gt;SaleExitYear,0,INDEX(WaterfallTable[Total Dist2],MATCH(5,WaterfallTable[Year],0)))</f>
        <v>523754.85203518625</v>
      </c>
      <c r="J26" s="45">
        <f>IF(6&gt;SaleExitYear,0,INDEX(WaterfallTable[Total Dist2],MATCH(6,WaterfallTable[Year],0)))</f>
        <v>0</v>
      </c>
      <c r="K26" s="45">
        <f>IF(7&gt;SaleExitYear,0,INDEX(WaterfallTable[Total Dist2],MATCH(7,WaterfallTable[Year],0)))</f>
        <v>0</v>
      </c>
      <c r="L26" s="45">
        <f>IF(8&gt;SaleExitYear,0,INDEX(WaterfallTable[Total Dist2],MATCH(8,WaterfallTable[Year],0)))</f>
        <v>0</v>
      </c>
      <c r="M26" s="45">
        <f>IF(9&gt;SaleExitYear,0,INDEX(WaterfallTable[Total Dist2],MATCH(9,WaterfallTable[Year],0)))</f>
        <v>0</v>
      </c>
      <c r="N26" s="45">
        <f>IF(10&gt;SaleExitYear,0,INDEX(WaterfallTable[Total Dist2],MATCH(10,WaterfallTable[Year],0)))</f>
        <v>0</v>
      </c>
      <c r="O26" s="45">
        <f>SUM(ReturnsTable[[#This Row],[Initial Capitalization]:[Year 10]])</f>
        <v>487471.85203518625</v>
      </c>
      <c r="P26" s="45">
        <f>ReturnsTable[[#This Row],[Total Profit]]+ReturnsTable[[#This Row],[Capital Investment]]</f>
        <v>623754.85203518625</v>
      </c>
      <c r="Q26" s="46">
        <f>IFERROR(ReturnsTable[[#This Row],[Total Dist]]/ReturnsTable[[#This Row],[Capital Investment]],0)</f>
        <v>4.5769087269519035</v>
      </c>
      <c r="R26" s="55">
        <f>IFERROR(ReturnsTable[[#This Row],[Total Profit]]/ReturnsTable[[#This Row],[Capital Investment]],0)</f>
        <v>3.5769087269519035</v>
      </c>
      <c r="S26" s="60">
        <f>IFERROR(IRR(ReturnsTable[[#This Row],[Initial Capitalization]:[Year 10]]),0)</f>
        <v>0.7056305810885255</v>
      </c>
    </row>
    <row r="27" spans="1:19" x14ac:dyDescent="0.25">
      <c r="A27" s="52" t="s">
        <v>288</v>
      </c>
      <c r="B27" s="47">
        <f>0</f>
        <v>0</v>
      </c>
      <c r="C27" s="47">
        <f>0</f>
        <v>0</v>
      </c>
      <c r="D27" s="47">
        <f>0</f>
        <v>0</v>
      </c>
      <c r="E27" s="47">
        <f>IF(1&gt;SaleExitYear,0,ManagementFeeRate*INDEX(AnnualModelTable[Occupancy Effective Gross Income],MATCH(1,AnnualModelTable[Year],0)))</f>
        <v>2123.94</v>
      </c>
      <c r="F27" s="47">
        <f>IF(2&gt;SaleExitYear,0,ManagementFeeRate*INDEX(AnnualModelTable[Occupancy Effective Gross Income],MATCH(2,AnnualModelTable[Year],0)))</f>
        <v>6737.5152000000007</v>
      </c>
      <c r="G27" s="47">
        <f>IF(3&gt;SaleExitYear,0,ManagementFeeRate*INDEX(AnnualModelTable[Occupancy Effective Gross Income],MATCH(3,AnnualModelTable[Year],0)))</f>
        <v>10213.632000000001</v>
      </c>
      <c r="H27" s="47">
        <f>IF(4&gt;SaleExitYear,0,ManagementFeeRate*INDEX(AnnualModelTable[Occupancy Effective Gross Income],MATCH(4,AnnualModelTable[Year],0)))</f>
        <v>10213.632000000001</v>
      </c>
      <c r="I27" s="47">
        <f>IF(5&gt;SaleExitYear,0,ManagementFeeRate*INDEX(AnnualModelTable[Occupancy Effective Gross Income],MATCH(5,AnnualModelTable[Year],0)))</f>
        <v>10213.632000000001</v>
      </c>
      <c r="J27" s="47">
        <f>IF(6&gt;SaleExitYear,0,ManagementFeeRate*INDEX(AnnualModelTable[Occupancy Effective Gross Income],MATCH(6,AnnualModelTable[Year],0)))</f>
        <v>0</v>
      </c>
      <c r="K27" s="47">
        <f>IF(7&gt;SaleExitYear,0,ManagementFeeRate*INDEX(AnnualModelTable[Occupancy Effective Gross Income],MATCH(7,AnnualModelTable[Year],0)))</f>
        <v>0</v>
      </c>
      <c r="L27" s="47">
        <f>IF(8&gt;SaleExitYear,0,ManagementFeeRate*INDEX(AnnualModelTable[Occupancy Effective Gross Income],MATCH(8,AnnualModelTable[Year],0)))</f>
        <v>0</v>
      </c>
      <c r="M27" s="47">
        <f>IF(9&gt;SaleExitYear,0,ManagementFeeRate*INDEX(AnnualModelTable[Occupancy Effective Gross Income],MATCH(9,AnnualModelTable[Year],0)))</f>
        <v>0</v>
      </c>
      <c r="N27" s="47">
        <f>IF(10&gt;SaleExitYear,0,ManagementFeeRate*INDEX(AnnualModelTable[Occupancy Effective Gross Income],MATCH(10,AnnualModelTable[Year],0)))</f>
        <v>0</v>
      </c>
      <c r="O27" s="47">
        <f>SUM(ReturnsTable[[#This Row],[Initial Capitalization]:[Year 10]])</f>
        <v>39502.351200000005</v>
      </c>
      <c r="P27" s="47">
        <f>ReturnsTable[[#This Row],[Total Profit]]</f>
        <v>39502.351200000005</v>
      </c>
      <c r="Q27" s="48">
        <f>0</f>
        <v>0</v>
      </c>
      <c r="R27" s="56">
        <f>0</f>
        <v>0</v>
      </c>
      <c r="S27" s="60">
        <f>0</f>
        <v>0</v>
      </c>
    </row>
  </sheetData>
  <mergeCells count="12">
    <mergeCell ref="J2:M2"/>
    <mergeCell ref="N2:P2"/>
    <mergeCell ref="C2:I2"/>
    <mergeCell ref="B17:D17"/>
    <mergeCell ref="E17:L17"/>
    <mergeCell ref="A2:B2"/>
    <mergeCell ref="B20:D20"/>
    <mergeCell ref="B18:D18"/>
    <mergeCell ref="B19:D19"/>
    <mergeCell ref="E19:L19"/>
    <mergeCell ref="E18:L18"/>
    <mergeCell ref="E20:L20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0</xdr:colOff>
                    <xdr:row>3</xdr:row>
                    <xdr:rowOff>152400</xdr:rowOff>
                  </from>
                  <to>
                    <xdr:col>18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276225</xdr:colOff>
                    <xdr:row>3</xdr:row>
                    <xdr:rowOff>190500</xdr:rowOff>
                  </from>
                  <to>
                    <xdr:col>17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276225</xdr:colOff>
                    <xdr:row>4</xdr:row>
                    <xdr:rowOff>190500</xdr:rowOff>
                  </from>
                  <to>
                    <xdr:col>17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276225</xdr:colOff>
                    <xdr:row>5</xdr:row>
                    <xdr:rowOff>190500</xdr:rowOff>
                  </from>
                  <to>
                    <xdr:col>17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276225</xdr:colOff>
                    <xdr:row>6</xdr:row>
                    <xdr:rowOff>180975</xdr:rowOff>
                  </from>
                  <to>
                    <xdr:col>17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276225</xdr:colOff>
                    <xdr:row>7</xdr:row>
                    <xdr:rowOff>180975</xdr:rowOff>
                  </from>
                  <to>
                    <xdr:col>17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276225</xdr:colOff>
                    <xdr:row>8</xdr:row>
                    <xdr:rowOff>180975</xdr:rowOff>
                  </from>
                  <to>
                    <xdr:col>17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276225</xdr:colOff>
                    <xdr:row>9</xdr:row>
                    <xdr:rowOff>180975</xdr:rowOff>
                  </from>
                  <to>
                    <xdr:col>17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276225</xdr:colOff>
                    <xdr:row>10</xdr:row>
                    <xdr:rowOff>180975</xdr:rowOff>
                  </from>
                  <to>
                    <xdr:col>17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180975</xdr:rowOff>
                  </from>
                  <to>
                    <xdr:col>17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276225</xdr:colOff>
                    <xdr:row>12</xdr:row>
                    <xdr:rowOff>180975</xdr:rowOff>
                  </from>
                  <to>
                    <xdr:col>17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15</xdr:row>
                    <xdr:rowOff>152400</xdr:rowOff>
                  </from>
                  <to>
                    <xdr:col>1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285750</xdr:colOff>
                    <xdr:row>16</xdr:row>
                    <xdr:rowOff>180975</xdr:rowOff>
                  </from>
                  <to>
                    <xdr:col>0</xdr:col>
                    <xdr:colOff>590550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285750</xdr:colOff>
                    <xdr:row>17</xdr:row>
                    <xdr:rowOff>180975</xdr:rowOff>
                  </from>
                  <to>
                    <xdr:col>0</xdr:col>
                    <xdr:colOff>590550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285750</xdr:colOff>
                    <xdr:row>18</xdr:row>
                    <xdr:rowOff>180975</xdr:rowOff>
                  </from>
                  <to>
                    <xdr:col>0</xdr:col>
                    <xdr:colOff>590550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0" t="s">
        <v>270</v>
      </c>
      <c r="B1" s="98"/>
      <c r="C1" s="98"/>
      <c r="D1" s="9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97" t="s">
        <v>266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05" t="s">
        <v>104</v>
      </c>
      <c r="C2" s="98"/>
      <c r="D2" s="98"/>
    </row>
    <row r="3" spans="1:10" x14ac:dyDescent="0.25">
      <c r="A3" s="13" t="s">
        <v>105</v>
      </c>
      <c r="B3" s="105" t="s">
        <v>106</v>
      </c>
      <c r="C3" s="98"/>
      <c r="D3" s="98"/>
      <c r="E3" s="98"/>
      <c r="F3" s="98"/>
      <c r="G3" s="98"/>
      <c r="H3" s="98"/>
      <c r="I3" s="98"/>
    </row>
    <row r="4" spans="1:10" x14ac:dyDescent="0.25">
      <c r="A4" s="13"/>
      <c r="B4" s="13"/>
      <c r="C4" s="105"/>
      <c r="D4" s="78"/>
      <c r="E4" s="78"/>
      <c r="F4" s="78"/>
      <c r="H4" s="13"/>
    </row>
    <row r="5" spans="1:10" ht="15.75" thickBot="1" x14ac:dyDescent="0.3">
      <c r="A5" s="13"/>
      <c r="B5" s="13"/>
      <c r="C5" s="105"/>
      <c r="D5" s="78"/>
      <c r="E5" s="78"/>
      <c r="F5" s="78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98" t="s">
        <v>160</v>
      </c>
      <c r="C62" s="98"/>
      <c r="D62" s="98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98" t="s">
        <v>164</v>
      </c>
      <c r="D66" s="98"/>
      <c r="E66" s="98"/>
      <c r="F66" s="98"/>
      <c r="G66" s="98"/>
    </row>
    <row r="67" spans="1:7" x14ac:dyDescent="0.25">
      <c r="A67" s="6" t="s">
        <v>165</v>
      </c>
      <c r="B67" s="6" t="s">
        <v>163</v>
      </c>
      <c r="C67" s="98" t="s">
        <v>164</v>
      </c>
      <c r="D67" s="98"/>
      <c r="E67" s="98"/>
      <c r="F67" s="98"/>
      <c r="G67" s="98"/>
    </row>
    <row r="68" spans="1:7" x14ac:dyDescent="0.25">
      <c r="A68" s="6" t="s">
        <v>166</v>
      </c>
      <c r="B68" s="6" t="s">
        <v>163</v>
      </c>
      <c r="C68" s="98" t="s">
        <v>164</v>
      </c>
      <c r="D68" s="98"/>
      <c r="E68" s="98"/>
      <c r="F68" s="98"/>
      <c r="G68" s="98"/>
    </row>
    <row r="69" spans="1:7" x14ac:dyDescent="0.25">
      <c r="A69" s="6" t="s">
        <v>167</v>
      </c>
      <c r="B69" s="6" t="s">
        <v>163</v>
      </c>
      <c r="C69" s="98" t="s">
        <v>164</v>
      </c>
      <c r="D69" s="98"/>
      <c r="E69" s="98"/>
      <c r="F69" s="98"/>
      <c r="G69" s="98"/>
    </row>
    <row r="70" spans="1:7" x14ac:dyDescent="0.25">
      <c r="A70" s="6" t="s">
        <v>168</v>
      </c>
      <c r="B70" s="6" t="s">
        <v>169</v>
      </c>
      <c r="C70" s="98" t="s">
        <v>170</v>
      </c>
      <c r="D70" s="98"/>
      <c r="E70" s="98"/>
      <c r="F70" s="98"/>
      <c r="G70" s="98"/>
    </row>
    <row r="71" spans="1:7" x14ac:dyDescent="0.25">
      <c r="A71" s="6" t="s">
        <v>171</v>
      </c>
      <c r="B71" s="6" t="s">
        <v>163</v>
      </c>
      <c r="C71" s="98" t="s">
        <v>172</v>
      </c>
      <c r="D71" s="98"/>
      <c r="E71" s="98"/>
      <c r="F71" s="98"/>
      <c r="G71" s="98"/>
    </row>
    <row r="72" spans="1:7" x14ac:dyDescent="0.25">
      <c r="A72" s="6" t="s">
        <v>173</v>
      </c>
      <c r="B72" s="6" t="s">
        <v>163</v>
      </c>
      <c r="C72" s="98" t="s">
        <v>174</v>
      </c>
      <c r="D72" s="98"/>
      <c r="E72" s="98"/>
      <c r="F72" s="98"/>
      <c r="G72" s="98"/>
    </row>
    <row r="73" spans="1:7" x14ac:dyDescent="0.25">
      <c r="A73" s="6" t="s">
        <v>175</v>
      </c>
      <c r="B73" s="6" t="s">
        <v>163</v>
      </c>
      <c r="C73" s="98" t="s">
        <v>176</v>
      </c>
      <c r="D73" s="98"/>
      <c r="E73" s="98"/>
      <c r="F73" s="98"/>
      <c r="G73" s="98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98" t="s">
        <v>179</v>
      </c>
      <c r="D76" s="98"/>
      <c r="E76" s="98"/>
      <c r="F76" s="98"/>
      <c r="G76" s="98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98" t="s">
        <v>185</v>
      </c>
      <c r="D81" s="98"/>
      <c r="E81" s="98"/>
      <c r="F81" s="98"/>
      <c r="G81" s="98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2026-05-18T07:09:13Z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