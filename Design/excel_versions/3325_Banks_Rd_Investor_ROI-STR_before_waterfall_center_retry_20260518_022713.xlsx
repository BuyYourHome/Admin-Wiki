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trlProps/ctrlProp3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E9E90659-2AB7-48F6-A3DA-12E01D06930F}" xr6:coauthVersionLast="47" xr6:coauthVersionMax="47" xr10:uidLastSave="{00000000-0000-0000-0000-000000000000}"/>
  <bookViews>
    <workbookView xWindow="-120" yWindow="-120" windowWidth="38640" windowHeight="15720" activeTab="4" xr2:uid="{00000000-000D-0000-FFFF-FFFF00000000}"/>
  </bookViews>
  <sheets>
    <sheet name="STR Notes" sheetId="9" r:id="rId1"/>
    <sheet name="STR Scenarios" sheetId="8" r:id="rId2"/>
    <sheet name="Assumptions" sheetId="1" r:id="rId3"/>
    <sheet name="Annual Model" sheetId="2" r:id="rId4"/>
    <sheet name="Waterfall" sheetId="3" r:id="rId5"/>
    <sheet name="Returns" sheetId="4" state="hidden" r:id="rId6"/>
    <sheet name="Notes" sheetId="5" r:id="rId7"/>
    <sheet name="Cost Analysis" sheetId="6" r:id="rId8"/>
    <sheet name="Operating Expense Budget" sheetId="7" r:id="rId9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RepairsMaintenanceReserveTarget">'Operating Expense Budget'!$B$20</definedName>
    <definedName name="SaleExitYear">Assumptions!$B$5</definedName>
    <definedName name="SelectedAnnualGrossRent">'STR Scenarios'!$L$25:$L$34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OperatingScenario">'STR Scenarios'!$D$4</definedName>
    <definedName name="SelectedOperatingScenarioId">'STR Scenarios'!$H$4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Waterfall!$S$3</definedName>
    <definedName name="SelectedWaterfallRefiOption">Waterfall!$R$3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M4" i="1" s="1"/>
  <c r="J25" i="8"/>
  <c r="J26" i="8"/>
  <c r="J27" i="8"/>
  <c r="J28" i="8"/>
  <c r="J29" i="8"/>
  <c r="J30" i="8"/>
  <c r="J31" i="8"/>
  <c r="J32" i="8"/>
  <c r="J33" i="8"/>
  <c r="J34" i="8"/>
  <c r="I25" i="8"/>
  <c r="I26" i="8"/>
  <c r="I27" i="8"/>
  <c r="I28" i="8"/>
  <c r="I29" i="8"/>
  <c r="I30" i="8"/>
  <c r="I31" i="8"/>
  <c r="I32" i="8"/>
  <c r="I33" i="8"/>
  <c r="I34" i="8"/>
  <c r="F25" i="8"/>
  <c r="F26" i="8"/>
  <c r="F27" i="8"/>
  <c r="F28" i="8"/>
  <c r="F29" i="8"/>
  <c r="F30" i="8"/>
  <c r="F31" i="8"/>
  <c r="F32" i="8"/>
  <c r="F33" i="8"/>
  <c r="F34" i="8"/>
  <c r="E25" i="8"/>
  <c r="E26" i="8"/>
  <c r="E27" i="8"/>
  <c r="E28" i="8"/>
  <c r="E29" i="8"/>
  <c r="E30" i="8"/>
  <c r="E31" i="8"/>
  <c r="E32" i="8"/>
  <c r="E33" i="8"/>
  <c r="E34" i="8"/>
  <c r="B25" i="8"/>
  <c r="B26" i="8"/>
  <c r="B27" i="8"/>
  <c r="B28" i="8"/>
  <c r="B29" i="8"/>
  <c r="B30" i="8"/>
  <c r="B31" i="8"/>
  <c r="B32" i="8"/>
  <c r="B33" i="8"/>
  <c r="B34" i="8"/>
  <c r="B5" i="1"/>
  <c r="J4" i="2" s="1"/>
  <c r="B4" i="1"/>
  <c r="B16" i="7"/>
  <c r="B22" i="7"/>
  <c r="S27" i="3"/>
  <c r="R27" i="3"/>
  <c r="Q27" i="3"/>
  <c r="D27" i="3"/>
  <c r="C27" i="3"/>
  <c r="C26" i="3"/>
  <c r="C24" i="3"/>
  <c r="B27" i="3"/>
  <c r="B26" i="3"/>
  <c r="B24" i="3"/>
  <c r="D24" i="3" s="1"/>
  <c r="G11" i="1"/>
  <c r="C34" i="8" s="1"/>
  <c r="D34" i="8" s="1"/>
  <c r="G34" i="8" s="1"/>
  <c r="F11" i="1"/>
  <c r="C26" i="8" s="1"/>
  <c r="D26" i="8" s="1"/>
  <c r="G26" i="8" s="1"/>
  <c r="E11" i="1"/>
  <c r="C25" i="8" s="1"/>
  <c r="D25" i="8" s="1"/>
  <c r="G25" i="8" s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K27" i="8" l="1"/>
  <c r="K34" i="8"/>
  <c r="K26" i="8"/>
  <c r="C14" i="2"/>
  <c r="C13" i="2"/>
  <c r="C11" i="2"/>
  <c r="K33" i="8"/>
  <c r="K25" i="8"/>
  <c r="C10" i="2"/>
  <c r="C12" i="2"/>
  <c r="C4" i="2"/>
  <c r="K31" i="8"/>
  <c r="K32" i="8"/>
  <c r="K29" i="8"/>
  <c r="K28" i="8"/>
  <c r="K30" i="8"/>
  <c r="H25" i="8"/>
  <c r="H34" i="8"/>
  <c r="H26" i="8"/>
  <c r="C32" i="8"/>
  <c r="D32" i="8" s="1"/>
  <c r="C28" i="8"/>
  <c r="D28" i="8" s="1"/>
  <c r="C33" i="8"/>
  <c r="D33" i="8" s="1"/>
  <c r="C31" i="8"/>
  <c r="D31" i="8" s="1"/>
  <c r="C30" i="8"/>
  <c r="D30" i="8" s="1"/>
  <c r="C29" i="8"/>
  <c r="D29" i="8" s="1"/>
  <c r="C27" i="8"/>
  <c r="D27" i="8" s="1"/>
  <c r="N26" i="3"/>
  <c r="N25" i="3"/>
  <c r="N24" i="3"/>
  <c r="M14" i="3"/>
  <c r="M14" i="2"/>
  <c r="P14" i="3"/>
  <c r="O14" i="3"/>
  <c r="I14" i="3"/>
  <c r="O4" i="3"/>
  <c r="L14" i="3"/>
  <c r="L4" i="3"/>
  <c r="H14" i="3"/>
  <c r="H4" i="3"/>
  <c r="E14" i="3"/>
  <c r="D14" i="3"/>
  <c r="D4" i="3"/>
  <c r="J14" i="3"/>
  <c r="K14" i="3"/>
  <c r="K4" i="3"/>
  <c r="G14" i="3"/>
  <c r="G4" i="3"/>
  <c r="F14" i="3"/>
  <c r="F4" i="3"/>
  <c r="C4" i="3" s="1"/>
  <c r="C14" i="3"/>
  <c r="B17" i="1"/>
  <c r="L14" i="2"/>
  <c r="K14" i="2"/>
  <c r="K4" i="2"/>
  <c r="J14" i="2"/>
  <c r="O14" i="2"/>
  <c r="N9" i="3"/>
  <c r="N10" i="3"/>
  <c r="N12" i="3"/>
  <c r="D4" i="2"/>
  <c r="N7" i="3"/>
  <c r="D13" i="2"/>
  <c r="M27" i="3" s="1"/>
  <c r="D12" i="2"/>
  <c r="L27" i="3" s="1"/>
  <c r="P4" i="2"/>
  <c r="D11" i="2"/>
  <c r="K27" i="3" s="1"/>
  <c r="G4" i="2"/>
  <c r="O4" i="2"/>
  <c r="N5" i="3"/>
  <c r="D10" i="2"/>
  <c r="J27" i="3" s="1"/>
  <c r="N6" i="3"/>
  <c r="N8" i="3"/>
  <c r="N14" i="3"/>
  <c r="I4" i="2"/>
  <c r="N13" i="3"/>
  <c r="N4" i="3"/>
  <c r="N11" i="3"/>
  <c r="H11" i="1"/>
  <c r="C27" i="6"/>
  <c r="C8" i="6" s="1"/>
  <c r="B27" i="6"/>
  <c r="B8" i="6" s="1"/>
  <c r="B10" i="6" s="1"/>
  <c r="B28" i="1"/>
  <c r="C9" i="6"/>
  <c r="C10" i="6" s="1"/>
  <c r="B9" i="6"/>
  <c r="L25" i="8" l="1"/>
  <c r="L34" i="8"/>
  <c r="L26" i="8"/>
  <c r="C6" i="2" s="1"/>
  <c r="D6" i="2" s="1"/>
  <c r="F27" i="3" s="1"/>
  <c r="G29" i="8"/>
  <c r="H29" i="8" s="1"/>
  <c r="G30" i="8"/>
  <c r="H30" i="8" s="1"/>
  <c r="L30" i="8" s="1"/>
  <c r="G31" i="8"/>
  <c r="H31" i="8" s="1"/>
  <c r="L31" i="8" s="1"/>
  <c r="G33" i="8"/>
  <c r="H33" i="8" s="1"/>
  <c r="L33" i="8" s="1"/>
  <c r="G28" i="8"/>
  <c r="H28" i="8" s="1"/>
  <c r="G32" i="8"/>
  <c r="H32" i="8" s="1"/>
  <c r="L32" i="8" s="1"/>
  <c r="G27" i="8"/>
  <c r="H27" i="8" s="1"/>
  <c r="P4" i="3"/>
  <c r="D26" i="3" s="1"/>
  <c r="M4" i="3"/>
  <c r="I4" i="3"/>
  <c r="E4" i="3"/>
  <c r="F5" i="3"/>
  <c r="C5" i="3" s="1"/>
  <c r="D14" i="2"/>
  <c r="N27" i="3" s="1"/>
  <c r="G10" i="6"/>
  <c r="B29" i="6" s="1"/>
  <c r="C5" i="2" l="1"/>
  <c r="D5" i="2" s="1"/>
  <c r="E27" i="3" s="1"/>
  <c r="L29" i="8"/>
  <c r="C9" i="2" s="1"/>
  <c r="D9" i="2" s="1"/>
  <c r="I27" i="3" s="1"/>
  <c r="L27" i="8"/>
  <c r="C7" i="2" s="1"/>
  <c r="D7" i="2" s="1"/>
  <c r="G27" i="3" s="1"/>
  <c r="L28" i="8"/>
  <c r="C8" i="2" s="1"/>
  <c r="D8" i="2" s="1"/>
  <c r="H27" i="3" s="1"/>
  <c r="M4" i="2"/>
  <c r="B10" i="7"/>
  <c r="B15" i="7" s="1"/>
  <c r="B41" i="1"/>
  <c r="J4" i="3" s="1"/>
  <c r="J5" i="3" s="1"/>
  <c r="B15" i="6"/>
  <c r="B14" i="6"/>
  <c r="O25" i="8" l="1"/>
  <c r="O27" i="3"/>
  <c r="P27" i="3" s="1"/>
  <c r="B25" i="3"/>
  <c r="D25" i="3" s="1"/>
  <c r="C25" i="3"/>
  <c r="B36" i="7"/>
  <c r="B6" i="7" s="1"/>
  <c r="B7" i="7" s="1"/>
  <c r="B15" i="1" s="1"/>
  <c r="B30" i="6"/>
  <c r="B31" i="6" s="1"/>
  <c r="B5" i="4"/>
  <c r="H5" i="4" s="1"/>
  <c r="E11" i="2" l="1"/>
  <c r="F11" i="2" s="1"/>
  <c r="P11" i="2" s="1"/>
  <c r="E12" i="2"/>
  <c r="F12" i="2" s="1"/>
  <c r="E13" i="2"/>
  <c r="F13" i="2" s="1"/>
  <c r="E14" i="2"/>
  <c r="F14" i="2" s="1"/>
  <c r="E9" i="2"/>
  <c r="F9" i="2" s="1"/>
  <c r="P9" i="2" s="1"/>
  <c r="E10" i="2"/>
  <c r="F10" i="2" s="1"/>
  <c r="E4" i="2"/>
  <c r="E5" i="2"/>
  <c r="F5" i="2" s="1"/>
  <c r="E7" i="2"/>
  <c r="F7" i="2" s="1"/>
  <c r="P7" i="2" s="1"/>
  <c r="E8" i="2"/>
  <c r="F8" i="2" s="1"/>
  <c r="P8" i="2" s="1"/>
  <c r="E6" i="2"/>
  <c r="F6" i="2" s="1"/>
  <c r="P6" i="2" s="1"/>
  <c r="B30" i="1"/>
  <c r="P5" i="2" l="1"/>
  <c r="O5" i="2"/>
  <c r="G5" i="2"/>
  <c r="H5" i="2" s="1"/>
  <c r="G13" i="2"/>
  <c r="H13" i="2" s="1"/>
  <c r="G14" i="2"/>
  <c r="H14" i="2" s="1"/>
  <c r="O11" i="2"/>
  <c r="I11" i="2" s="1"/>
  <c r="O12" i="2"/>
  <c r="G12" i="2"/>
  <c r="H12" i="2" s="1"/>
  <c r="O13" i="2"/>
  <c r="P13" i="2"/>
  <c r="P14" i="2"/>
  <c r="I14" i="2" s="1"/>
  <c r="P12" i="2"/>
  <c r="G11" i="2"/>
  <c r="H11" i="2" s="1"/>
  <c r="O10" i="2"/>
  <c r="P10" i="2"/>
  <c r="G10" i="2"/>
  <c r="H10" i="2" s="1"/>
  <c r="O9" i="2"/>
  <c r="I9" i="2" s="1"/>
  <c r="O8" i="2"/>
  <c r="G9" i="2"/>
  <c r="H9" i="2" s="1"/>
  <c r="O6" i="2"/>
  <c r="I6" i="2" s="1"/>
  <c r="O7" i="2"/>
  <c r="I7" i="2" s="1"/>
  <c r="G6" i="2"/>
  <c r="H6" i="2" s="1"/>
  <c r="G7" i="2"/>
  <c r="H7" i="2" s="1"/>
  <c r="G8" i="2"/>
  <c r="H8" i="2" s="1"/>
  <c r="F4" i="2"/>
  <c r="B31" i="1"/>
  <c r="B32" i="1"/>
  <c r="I5" i="2" l="1"/>
  <c r="I13" i="2"/>
  <c r="I10" i="2"/>
  <c r="I12" i="2"/>
  <c r="I8" i="2"/>
  <c r="H4" i="2"/>
  <c r="L4" i="2" s="1"/>
  <c r="B45" i="1"/>
  <c r="B44" i="1"/>
  <c r="N4" i="2" l="1"/>
  <c r="B4" i="3"/>
  <c r="J5" i="2" l="1"/>
  <c r="K5" i="2" s="1"/>
  <c r="L5" i="2" l="1"/>
  <c r="B5" i="3" s="1"/>
  <c r="G5" i="3" l="1"/>
  <c r="F6" i="3" s="1"/>
  <c r="K5" i="3" l="1"/>
  <c r="C6" i="3"/>
  <c r="D5" i="3" l="1"/>
  <c r="J6" i="3"/>
  <c r="E5" i="3" l="1"/>
  <c r="O5" i="3"/>
  <c r="P5" i="3" s="1"/>
  <c r="E26" i="3" s="1"/>
  <c r="H5" i="3"/>
  <c r="I5" i="3" s="1"/>
  <c r="E24" i="3" s="1"/>
  <c r="L5" i="3"/>
  <c r="M5" i="3" l="1"/>
  <c r="E25" i="3" s="1"/>
  <c r="I4" i="4"/>
  <c r="I6" i="4"/>
  <c r="I5" i="4" l="1"/>
  <c r="M5" i="2"/>
  <c r="N5" i="2" s="1"/>
  <c r="J6" i="2" s="1"/>
  <c r="K6" i="2" s="1"/>
  <c r="L6" i="2" l="1"/>
  <c r="B6" i="3" s="1"/>
  <c r="G6" i="3" s="1"/>
  <c r="K6" i="3" l="1"/>
  <c r="J7" i="3" s="1"/>
  <c r="F7" i="3"/>
  <c r="C7" i="3" s="1"/>
  <c r="D6" i="3" l="1"/>
  <c r="E6" i="3" s="1"/>
  <c r="H6" i="3" l="1"/>
  <c r="I6" i="3" s="1"/>
  <c r="F24" i="3" s="1"/>
  <c r="O6" i="3"/>
  <c r="P6" i="3" s="1"/>
  <c r="J6" i="4" s="1"/>
  <c r="L6" i="3"/>
  <c r="M6" i="3" s="1"/>
  <c r="F25" i="3" s="1"/>
  <c r="J5" i="4" l="1"/>
  <c r="J4" i="4"/>
  <c r="M6" i="2"/>
  <c r="N6" i="2" s="1"/>
  <c r="J7" i="2" s="1"/>
  <c r="K7" i="2" s="1"/>
  <c r="F26" i="3"/>
  <c r="L7" i="2" l="1"/>
  <c r="B7" i="3" s="1"/>
  <c r="G7" i="3" s="1"/>
  <c r="K7" i="3" s="1"/>
  <c r="F8" i="3" l="1"/>
  <c r="C8" i="3" s="1"/>
  <c r="D7" i="3"/>
  <c r="E7" i="3" s="1"/>
  <c r="J8" i="3"/>
  <c r="H7" i="3" l="1"/>
  <c r="I7" i="3" s="1"/>
  <c r="L7" i="3"/>
  <c r="M7" i="3" s="1"/>
  <c r="G25" i="3" s="1"/>
  <c r="O7" i="3"/>
  <c r="P7" i="3" s="1"/>
  <c r="G26" i="3" s="1"/>
  <c r="M7" i="2" l="1"/>
  <c r="N7" i="2" s="1"/>
  <c r="J8" i="2" s="1"/>
  <c r="K8" i="2" s="1"/>
  <c r="G24" i="3"/>
  <c r="K6" i="4"/>
  <c r="K5" i="4"/>
  <c r="K4" i="4"/>
  <c r="L8" i="2" l="1"/>
  <c r="B8" i="3" s="1"/>
  <c r="G8" i="3" l="1"/>
  <c r="K8" i="3" l="1"/>
  <c r="F9" i="3"/>
  <c r="C9" i="3" l="1"/>
  <c r="D8" i="3"/>
  <c r="L8" i="3" s="1"/>
  <c r="M8" i="3" s="1"/>
  <c r="H25" i="3" s="1"/>
  <c r="J9" i="3"/>
  <c r="O8" i="3" l="1"/>
  <c r="P8" i="3" s="1"/>
  <c r="H26" i="3" s="1"/>
  <c r="E8" i="3"/>
  <c r="H8" i="3"/>
  <c r="I8" i="3" s="1"/>
  <c r="L5" i="4"/>
  <c r="L6" i="4" l="1"/>
  <c r="L4" i="4"/>
  <c r="H24" i="3"/>
  <c r="M8" i="2"/>
  <c r="N8" i="2" s="1"/>
  <c r="J9" i="2" s="1"/>
  <c r="K9" i="2" s="1"/>
  <c r="L9" i="2" l="1"/>
  <c r="B9" i="3" s="1"/>
  <c r="G9" i="3" l="1"/>
  <c r="K9" i="3" l="1"/>
  <c r="J10" i="3" s="1"/>
  <c r="F10" i="3"/>
  <c r="D9" i="3" l="1"/>
  <c r="E9" i="3" s="1"/>
  <c r="C10" i="3"/>
  <c r="O9" i="3" l="1"/>
  <c r="P9" i="3" s="1"/>
  <c r="I26" i="3" s="1"/>
  <c r="H9" i="3"/>
  <c r="I9" i="3" s="1"/>
  <c r="I24" i="3" s="1"/>
  <c r="L9" i="3"/>
  <c r="M9" i="3" s="1"/>
  <c r="I25" i="3" s="1"/>
  <c r="M6" i="4" l="1"/>
  <c r="M4" i="4"/>
  <c r="M5" i="4"/>
  <c r="M9" i="2"/>
  <c r="N9" i="2" s="1"/>
  <c r="J10" i="2" s="1"/>
  <c r="K10" i="2" s="1"/>
  <c r="L10" i="2" l="1"/>
  <c r="B10" i="3" s="1"/>
  <c r="G10" i="3" l="1"/>
  <c r="F11" i="3" s="1"/>
  <c r="C11" i="3" l="1"/>
  <c r="K10" i="3"/>
  <c r="J11" i="3" l="1"/>
  <c r="D10" i="3"/>
  <c r="E10" i="3" l="1"/>
  <c r="H10" i="3"/>
  <c r="I10" i="3" s="1"/>
  <c r="O10" i="3"/>
  <c r="P10" i="3" s="1"/>
  <c r="L10" i="3"/>
  <c r="M10" i="3" s="1"/>
  <c r="M10" i="2" l="1"/>
  <c r="N10" i="2" s="1"/>
  <c r="J24" i="3"/>
  <c r="N4" i="4"/>
  <c r="J25" i="3"/>
  <c r="N5" i="4"/>
  <c r="J26" i="3"/>
  <c r="N6" i="4"/>
  <c r="J11" i="2" l="1"/>
  <c r="K11" i="2" s="1"/>
  <c r="L11" i="2" l="1"/>
  <c r="B11" i="3" s="1"/>
  <c r="G11" i="3" s="1"/>
  <c r="F12" i="3" s="1"/>
  <c r="C12" i="3" l="1"/>
  <c r="K11" i="3"/>
  <c r="B14" i="3"/>
  <c r="J12" i="3" l="1"/>
  <c r="D11" i="3"/>
  <c r="O11" i="3" s="1"/>
  <c r="P11" i="3" s="1"/>
  <c r="R6" i="4"/>
  <c r="K26" i="3" l="1"/>
  <c r="O6" i="4"/>
  <c r="E11" i="3"/>
  <c r="H11" i="3"/>
  <c r="I11" i="3" s="1"/>
  <c r="L11" i="3"/>
  <c r="M11" i="3" s="1"/>
  <c r="R5" i="4"/>
  <c r="N14" i="2"/>
  <c r="R4" i="4"/>
  <c r="M11" i="2" l="1"/>
  <c r="N11" i="2" s="1"/>
  <c r="K24" i="3"/>
  <c r="O4" i="4"/>
  <c r="K25" i="3"/>
  <c r="O5" i="4"/>
  <c r="J12" i="2" l="1"/>
  <c r="K12" i="2" s="1"/>
  <c r="L12" i="2" l="1"/>
  <c r="B12" i="3" l="1"/>
  <c r="G12" i="3" l="1"/>
  <c r="F13" i="3" s="1"/>
  <c r="C13" i="3" s="1"/>
  <c r="K12" i="3" l="1"/>
  <c r="D12" i="3" s="1"/>
  <c r="O12" i="3" l="1"/>
  <c r="P12" i="3" s="1"/>
  <c r="L26" i="3" s="1"/>
  <c r="E12" i="3"/>
  <c r="H12" i="3"/>
  <c r="I12" i="3" s="1"/>
  <c r="L12" i="3"/>
  <c r="M12" i="3" s="1"/>
  <c r="J13" i="3"/>
  <c r="P6" i="4" l="1"/>
  <c r="L25" i="3"/>
  <c r="P5" i="4"/>
  <c r="L24" i="3"/>
  <c r="M12" i="2"/>
  <c r="N12" i="2" s="1"/>
  <c r="P4" i="4"/>
  <c r="J13" i="2" l="1"/>
  <c r="K13" i="2" s="1"/>
  <c r="L13" i="2" l="1"/>
  <c r="B13" i="3" l="1"/>
  <c r="G13" i="3" l="1"/>
  <c r="K13" i="3" s="1"/>
  <c r="D13" i="3" l="1"/>
  <c r="E13" i="3" l="1"/>
  <c r="H13" i="3"/>
  <c r="I13" i="3" s="1"/>
  <c r="L13" i="3"/>
  <c r="M13" i="3" s="1"/>
  <c r="O13" i="3"/>
  <c r="P13" i="3" s="1"/>
  <c r="M13" i="2" l="1"/>
  <c r="N13" i="2" s="1"/>
  <c r="M24" i="3"/>
  <c r="Q4" i="4"/>
  <c r="G4" i="4" s="1"/>
  <c r="C4" i="4"/>
  <c r="M25" i="3"/>
  <c r="Q5" i="4"/>
  <c r="G5" i="4" s="1"/>
  <c r="C5" i="4"/>
  <c r="M26" i="3"/>
  <c r="Q6" i="4"/>
  <c r="G6" i="4" s="1"/>
  <c r="C6" i="4"/>
  <c r="E4" i="4" l="1"/>
  <c r="D4" i="4"/>
  <c r="F4" i="4" s="1"/>
  <c r="O26" i="3"/>
  <c r="S26" i="3"/>
  <c r="D5" i="4"/>
  <c r="F5" i="4" s="1"/>
  <c r="E5" i="4"/>
  <c r="O25" i="3"/>
  <c r="S25" i="3"/>
  <c r="E6" i="4"/>
  <c r="D6" i="4"/>
  <c r="F6" i="4" s="1"/>
  <c r="S24" i="3"/>
  <c r="O24" i="3"/>
  <c r="P24" i="3" l="1"/>
  <c r="Q24" i="3" s="1"/>
  <c r="R24" i="3"/>
  <c r="R25" i="3"/>
  <c r="P25" i="3"/>
  <c r="Q25" i="3" s="1"/>
  <c r="R26" i="3"/>
  <c r="P26" i="3"/>
  <c r="Q26" i="3" s="1"/>
</calcChain>
</file>

<file path=xl/sharedStrings.xml><?xml version="1.0" encoding="utf-8"?>
<sst xmlns="http://schemas.openxmlformats.org/spreadsheetml/2006/main" count="450" uniqueCount="378">
  <si>
    <t>3325 Banks Rd - Investor Return Model</t>
  </si>
  <si>
    <t>Editable inputs are in column B. Outputs update through formulas.</t>
  </si>
  <si>
    <t>Project Timing</t>
  </si>
  <si>
    <t>Stabilization / Refinance Year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</si>
  <si>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</si>
  <si>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</si>
  <si>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</si>
  <si>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</si>
  <si>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</si>
  <si>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</si>
  <si>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</si>
  <si>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</si>
  <si>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</si>
  <si>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</si>
  <si>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</si>
  <si>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</si>
  <si>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</si>
  <si>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</si>
  <si>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</si>
  <si>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</si>
  <si>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</si>
  <si>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</si>
  <si>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</si>
  <si>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</si>
  <si>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</si>
  <si>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</si>
  <si>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</si>
  <si>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</si>
  <si>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</si>
  <si>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</si>
  <si>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</si>
  <si>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</si>
  <si>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</si>
  <si>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</si>
  <si>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</si>
  <si>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</si>
  <si>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</si>
  <si>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</si>
  <si>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</si>
  <si>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</si>
  <si>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</si>
  <si>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</si>
  <si>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</si>
  <si>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</si>
  <si>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</si>
  <si>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</si>
  <si>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</si>
  <si>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</si>
  <si>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</si>
  <si>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</si>
  <si>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</si>
  <si>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</si>
  <si>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</si>
  <si>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</si>
  <si>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</si>
  <si>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</si>
  <si>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</si>
  <si>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</si>
  <si>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</si>
  <si>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</si>
  <si>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</si>
  <si>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</si>
  <si>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</si>
  <si>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</si>
  <si>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</si>
  <si>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</si>
  <si>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</si>
  <si>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</si>
  <si>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</si>
  <si>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</si>
  <si>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</si>
  <si>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</si>
  <si>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</si>
  <si>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</si>
  <si>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</si>
  <si>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</si>
  <si>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</si>
  <si>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</si>
  <si>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</si>
  <si>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</si>
  <si>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</si>
  <si>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</si>
  <si>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</si>
  <si>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</si>
  <si>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</si>
  <si>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</si>
  <si>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</si>
  <si>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</si>
  <si>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</si>
  <si>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</si>
  <si>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</si>
  <si>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</si>
  <si>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</si>
  <si>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</si>
  <si>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</si>
  <si>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</si>
  <si>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</si>
  <si>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</si>
  <si>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</si>
  <si>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</si>
  <si>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</si>
  <si>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</si>
  <si>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</si>
  <si>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</si>
  <si>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</si>
  <si>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</si>
  <si>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</si>
  <si>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</si>
  <si>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</si>
  <si>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</si>
  <si>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</si>
  <si>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</si>
  <si>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</si>
  <si>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</si>
  <si>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</si>
  <si>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</si>
  <si>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</si>
  <si>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</si>
  <si>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</si>
  <si>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</si>
  <si>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</si>
  <si>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</si>
  <si>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</si>
  <si>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</si>
  <si>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</si>
  <si>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</si>
  <si>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</si>
  <si>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</si>
  <si>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</si>
  <si>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</si>
  <si>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</si>
  <si>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</si>
  <si>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</si>
  <si>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</si>
  <si>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</si>
  <si>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</si>
  <si>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</si>
  <si>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</si>
  <si>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</si>
  <si>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</si>
  <si>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</si>
  <si>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</si>
  <si>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</si>
  <si>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</si>
  <si>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</si>
  <si>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</si>
  <si>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</si>
  <si>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</si>
  <si>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</si>
  <si>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</si>
  <si>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</si>
  <si>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</si>
  <si>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</si>
  <si>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</si>
  <si>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</si>
  <si>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</si>
  <si>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</si>
  <si>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</si>
  <si>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</si>
  <si>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</si>
  <si>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</si>
  <si>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</si>
  <si>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</si>
  <si>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</si>
  <si>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</si>
  <si>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</si>
  <si>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</si>
  <si>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</si>
  <si>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</si>
  <si>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</si>
  <si>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</si>
  <si>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</si>
  <si>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</si>
  <si>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</si>
  <si>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</si>
  <si>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</si>
  <si>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</si>
  <si>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</si>
  <si>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</si>
  <si>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</si>
  <si>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</si>
  <si>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</si>
  <si>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</si>
  <si>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</si>
  <si>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</si>
  <si>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</si>
  <si>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</si>
  <si>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</si>
  <si>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</si>
  <si>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</si>
  <si>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</si>
  <si>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</si>
  <si>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</si>
  <si>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</si>
  <si>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</si>
  <si>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</si>
  <si>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</si>
  <si>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</si>
  <si>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</si>
  <si>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</si>
  <si>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</si>
  <si>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</si>
  <si>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</si>
  <si>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</si>
  <si>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</si>
  <si>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</si>
  <si>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</si>
  <si>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</si>
  <si>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</si>
  <si>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</si>
  <si>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</si>
  <si>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</si>
  <si>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</si>
  <si>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</si>
  <si>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</si>
  <si>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</si>
  <si>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</si>
  <si>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</si>
  <si>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</si>
  <si>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</si>
  <si>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</si>
  <si>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</si>
  <si>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</si>
  <si>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</si>
  <si>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</si>
  <si>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</si>
  <si>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</si>
  <si>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</si>
  <si>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</si>
  <si>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</si>
  <si>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</si>
  <si>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</si>
  <si>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</si>
  <si>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</si>
  <si>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</si>
  <si>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</si>
  <si>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</si>
  <si>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</si>
  <si>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</si>
  <si>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</si>
  <si>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</si>
  <si>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</si>
  <si>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</si>
  <si>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</si>
  <si>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</si>
  <si>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</si>
  <si>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</si>
  <si>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</si>
  <si>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</si>
  <si>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</si>
  <si>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</si>
  <si>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</si>
  <si>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</si>
  <si>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</si>
  <si>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</si>
  <si>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</si>
  <si>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</si>
  <si>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</si>
  <si>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</si>
  <si>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</si>
  <si>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</si>
  <si>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</si>
  <si>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</si>
  <si>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</si>
  <si>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</si>
  <si>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</si>
  <si>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</si>
  <si>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</si>
  <si>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</si>
  <si>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</si>
  <si>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</si>
  <si>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</si>
  <si>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</si>
  <si>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</si>
  <si>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</si>
  <si>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</si>
  <si>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</si>
  <si>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</si>
  <si>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</si>
  <si>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</si>
  <si>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</si>
  <si>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</si>
  <si>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</si>
  <si>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</si>
  <si>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</si>
  <si>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</si>
  <si>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</si>
  <si>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</si>
  <si>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</si>
  <si>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</si>
  <si>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</si>
  <si>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</si>
  <si>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</si>
  <si>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</si>
  <si>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</si>
  <si>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</si>
  <si>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</si>
  <si>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</si>
  <si>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</si>
  <si>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</si>
  <si>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</si>
  <si>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</si>
  <si>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End of Year Pref Balance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</si>
  <si>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</si>
  <si>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</si>
  <si>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</si>
  <si>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</si>
  <si>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</si>
  <si>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</si>
  <si>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</si>
  <si>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</si>
  <si>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</si>
  <si>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</si>
  <si>
    <t>Repairs &amp; maintenance reserve</t>
  </si>
  <si>
    <t>Annual reserve target funded before waterfall distributions; once funded, excess cash flows through waterfall</t>
  </si>
  <si>
    <t>Reserve Funding</t>
  </si>
  <si>
    <t>Reserve Balance</t>
  </si>
  <si>
    <t>Refi Year</t>
  </si>
  <si>
    <t>Exit Year</t>
  </si>
  <si>
    <t>Model uses selected Waterfall refinance-year option button; helper cell Waterfall!R3; buttons shown for Years 1-10 only</t>
  </si>
  <si>
    <t>Model uses selected Waterfall exit-year option button; helper cell Waterfall!S3; buttons shown for Years 1-10 only</t>
  </si>
  <si>
    <t xml:space="preserve"> Capital Balance B</t>
  </si>
  <si>
    <t>Capital Returned B</t>
  </si>
  <si>
    <t xml:space="preserve"> Residual   B</t>
  </si>
  <si>
    <t>Residual A</t>
  </si>
  <si>
    <t>Total Dist A</t>
  </si>
  <si>
    <t>Total Dist B</t>
  </si>
  <si>
    <t>Capital Returned A</t>
  </si>
  <si>
    <t>Capital Balance A</t>
  </si>
  <si>
    <t>3325 Banks Rd - STR Operating Scenarios</t>
  </si>
  <si>
    <t>Scenario Selector</t>
  </si>
  <si>
    <t>Selected Operating Scenario</t>
  </si>
  <si>
    <t>Base Co-Living / Medium-Term</t>
  </si>
  <si>
    <t>Annual Model revenue pulls from this selected scenario.</t>
  </si>
  <si>
    <t>One Floor STR + One Floor Co-Living</t>
  </si>
  <si>
    <t>Whole Building STR</t>
  </si>
  <si>
    <t>Existing co-living rent schedule remains controlling.</t>
  </si>
  <si>
    <t>STR Input Assumptions</t>
  </si>
  <si>
    <t>Input</t>
  </si>
  <si>
    <t>Low / Year 1</t>
  </si>
  <si>
    <t>Medium / Year 2</t>
  </si>
  <si>
    <t>High / Year 3+</t>
  </si>
  <si>
    <t>One-floor STR weekly rent</t>
  </si>
  <si>
    <t>Weekly gross rent for one full floor</t>
  </si>
  <si>
    <t>One-floor STR occupancy</t>
  </si>
  <si>
    <t>Occupied week percentage</t>
  </si>
  <si>
    <t>Whole-building STR weekly rent</t>
  </si>
  <si>
    <t>Weekly gross rent for full building</t>
  </si>
  <si>
    <t>Whole-building STR occupancy</t>
  </si>
  <si>
    <t>STR platform / lodging cost ratio</t>
  </si>
  <si>
    <t>Gross-revenue haircut for STR platform/tax/admin stress</t>
  </si>
  <si>
    <t>STR turnover cost per occupied week</t>
  </si>
  <si>
    <t>Cleaning, supplies, turnover allowance</t>
  </si>
  <si>
    <t>Annual Revenue Scenario Output</t>
  </si>
  <si>
    <t>Rent Case</t>
  </si>
  <si>
    <t>Base Monthly Gross Rent</t>
  </si>
  <si>
    <t>Base Annual Gross Rent</t>
  </si>
  <si>
    <t>One-Floor STR Weekly Rent</t>
  </si>
  <si>
    <t>One-Floor STR Occupancy</t>
  </si>
  <si>
    <t>Other Floor Annual Rent</t>
  </si>
  <si>
    <t>One-Floor STR Annual Gross</t>
  </si>
  <si>
    <t>Whole-Building STR Weekly Rent</t>
  </si>
  <si>
    <t>Whole-Building STR Occupancy</t>
  </si>
  <si>
    <t>Whole-Building STR Annual Gross</t>
  </si>
  <si>
    <t>Selected Annual Gross Rent</t>
  </si>
  <si>
    <t>Experimental STR Scenario</t>
  </si>
  <si>
    <t>Edit selector on STR Scenarios!B4</t>
  </si>
  <si>
    <t>STR Experimental Workbook Notes</t>
  </si>
  <si>
    <t>This workbook is an experimental copy of the investor ROI model. The original workbook is not modified.</t>
  </si>
  <si>
    <t>The STR Scenarios tab lets the Annual Model switch between Base Co-Living / Medium-Term, One Floor STR + One Floor Co-Living, and Whole Building STR.</t>
  </si>
  <si>
    <t>STR outputs are modeled as annual gross rent after platform/lodging cost haircut and turnover cost allowance. Operating expenses still flow through the existing Operating Expense Budget unless separately revised.</t>
  </si>
  <si>
    <t>Use this copy for sensitivity testing. If the STR approach is abandoned, return to the original workbook.</t>
  </si>
  <si>
    <t>Option #</t>
  </si>
  <si>
    <t>Select</t>
  </si>
  <si>
    <t>Operating Scenario</t>
  </si>
  <si>
    <t>Description</t>
  </si>
  <si>
    <t>One full floor rents weekly as STR; other floor remains co-living/medium-term.</t>
  </si>
  <si>
    <t>Entire building rents weekly as STR.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</si>
</sst>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3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sz val="22"/>
      <name val="Calibri"/>
      <family val="2"/>
    </font>
    <font>
      <b/>
      <sz val="16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D9F0E2"/>
        <bgColor indexed="64"/>
      </patternFill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9" fillId="3" borderId="2" xfId="0" applyNumberFormat="1" applyFont="1" applyFill="1" applyBorder="1" applyAlignment="1">
      <alignment horizontal="center" vertical="center" wrapText="1"/>
    </xf>
    <xf numFmtId="0" fontId="10" fillId="0" borderId="0" xfId="0" applyFont="1"/>
    <xf numFmtId="9" fontId="0" fillId="0" borderId="0" xfId="0" applyNumberFormat="1"/>
    <xf numFmtId="0" fontId="3" fillId="7" borderId="0" xfId="0" applyFont="1" applyFill="1"/>
    <xf numFmtId="0" fontId="4" fillId="7" borderId="0" xfId="0" applyFont="1" applyFill="1"/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3" fontId="0" fillId="5" borderId="0" xfId="0" applyNumberFormat="1" applyFill="1"/>
    <xf numFmtId="9" fontId="0" fillId="5" borderId="0" xfId="0" applyNumberFormat="1" applyFill="1"/>
    <xf numFmtId="3" fontId="0" fillId="4" borderId="0" xfId="0" applyNumberFormat="1" applyFill="1"/>
    <xf numFmtId="9" fontId="0" fillId="4" borderId="0" xfId="0" applyNumberFormat="1" applyFill="1"/>
    <xf numFmtId="0" fontId="3" fillId="9" borderId="2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12" fillId="9" borderId="2" xfId="0" applyFont="1" applyFill="1" applyBorder="1" applyAlignment="1">
      <alignment horizontal="center"/>
    </xf>
    <xf numFmtId="0" fontId="11" fillId="10" borderId="3" xfId="0" applyFont="1" applyFill="1" applyBorder="1" applyAlignment="1">
      <alignment horizontal="center" vertical="center"/>
    </xf>
    <xf numFmtId="0" fontId="10" fillId="0" borderId="0" xfId="0" applyFont="1"/>
    <xf numFmtId="0" fontId="0" fillId="0" borderId="0" xfId="0"/>
    <xf numFmtId="0" fontId="11" fillId="10" borderId="3" xfId="0" applyFont="1" applyFill="1" applyBorder="1" applyAlignment="1">
      <alignment horizontal="center" vertical="center"/>
    </xf>
    <xf numFmtId="0" fontId="11" fillId="10" borderId="20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0" fillId="3" borderId="20" xfId="0" applyFill="1" applyBorder="1"/>
    <xf numFmtId="0" fontId="0" fillId="3" borderId="4" xfId="0" applyFill="1" applyBorder="1"/>
    <xf numFmtId="0" fontId="3" fillId="5" borderId="3" xfId="0" applyFont="1" applyFill="1" applyBorder="1"/>
    <xf numFmtId="0" fontId="0" fillId="5" borderId="20" xfId="0" applyFill="1" applyBorder="1"/>
    <xf numFmtId="0" fontId="0" fillId="5" borderId="4" xfId="0" applyFill="1" applyBorder="1"/>
    <xf numFmtId="0" fontId="3" fillId="4" borderId="3" xfId="0" applyFont="1" applyFill="1" applyBorder="1"/>
    <xf numFmtId="0" fontId="0" fillId="4" borderId="20" xfId="0" applyFill="1" applyBorder="1"/>
    <xf numFmtId="0" fontId="0" fillId="4" borderId="4" xfId="0" applyFill="1" applyBorder="1"/>
    <xf numFmtId="0" fontId="3" fillId="8" borderId="3" xfId="0" applyFont="1" applyFill="1" applyBorder="1"/>
    <xf numFmtId="0" fontId="0" fillId="0" borderId="20" xfId="0" applyBorder="1"/>
    <xf numFmtId="0" fontId="0" fillId="0" borderId="4" xfId="0" applyBorder="1"/>
    <xf numFmtId="0" fontId="3" fillId="0" borderId="0" xfId="0" applyFont="1"/>
    <xf numFmtId="0" fontId="0" fillId="5" borderId="0" xfId="0" applyFill="1"/>
    <xf numFmtId="0" fontId="0" fillId="4" borderId="0" xfId="0" applyFill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4" fillId="0" borderId="0" xfId="0" applyNumberFormat="1" applyFont="1"/>
    <xf numFmtId="0" fontId="3" fillId="3" borderId="3" xfId="0" applyFont="1" applyFill="1" applyBorder="1" applyAlignment="1"/>
    <xf numFmtId="0" fontId="3" fillId="5" borderId="3" xfId="0" applyFont="1" applyFill="1" applyBorder="1" applyAlignment="1"/>
    <xf numFmtId="0" fontId="3" fillId="4" borderId="3" xfId="0" applyFont="1" applyFill="1" applyBorder="1" applyAlignment="1"/>
  </cellXfs>
  <cellStyles count="1">
    <cellStyle name="Normal" xfId="0" builtinId="0"/>
  </cellStyles>
  <dxfs count="79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numFmt numFmtId="3" formatCode="#,##0"/>
    </dxf>
    <dxf>
      <numFmt numFmtId="3" formatCode="#,##0"/>
      <fill>
        <patternFill patternType="solid">
          <fgColor indexed="64"/>
          <bgColor rgb="FF92D050"/>
        </patternFill>
      </fill>
    </dxf>
    <dxf>
      <numFmt numFmtId="13" formatCode="0%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13" formatCode="0%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Radio" checked="Checked" firstButton="1" fmlaLink="$H$4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Radio" firstButton="1" fmlaLink="Waterfall!$R$3" lockText="1" noThreeD="1"/>
</file>

<file path=xl/ctrlProps/ctrlProp8.xml><?xml version="1.0" encoding="utf-8"?>
<formControlPr xmlns="http://schemas.microsoft.com/office/spreadsheetml/2009/9/main" objectType="Radio" firstButton="1" fmlaLink="Waterfall!$S$3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checked="Checked" lockText="1" noThreeD="1"/>
</file>

<file path=xl/ctrlProps/ctrlProp12.xml><?xml version="1.0" encoding="utf-8"?>
<formControlPr xmlns="http://schemas.microsoft.com/office/spreadsheetml/2009/9/main" objectType="Radio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checked="Checked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Radio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Radio" lockText="1" noThreeD="1"/>
</file>

<file path=xl/ctrlProps/ctrlProp25.xml><?xml version="1.0" encoding="utf-8"?>
<formControlPr xmlns="http://schemas.microsoft.com/office/spreadsheetml/2009/9/main" objectType="Radio" lockText="1" noThreeD="1"/>
</file>

<file path=xl/ctrlProps/ctrlProp26.xml><?xml version="1.0" encoding="utf-8"?>
<formControlPr xmlns="http://schemas.microsoft.com/office/spreadsheetml/2009/9/main" objectType="Radio" lockText="1" noThreeD="1"/>
</file>

<file path=xl/ctrlProps/ctrlProp27.xml><?xml version="1.0" encoding="utf-8"?>
<formControlPr xmlns="http://schemas.microsoft.com/office/spreadsheetml/2009/9/main" objectType="GBox" noThreeD="1"/>
</file>

<file path=xl/ctrlProps/ctrlProp28.xml><?xml version="1.0" encoding="utf-8"?>
<formControlPr xmlns="http://schemas.microsoft.com/office/spreadsheetml/2009/9/main" objectType="Radio" firstButton="1" fmlaLink="'STR Scenarios'!$H$4" lockText="1" noThreeD="1"/>
</file>

<file path=xl/ctrlProps/ctrlProp29.xml><?xml version="1.0" encoding="utf-8"?>
<formControlPr xmlns="http://schemas.microsoft.com/office/spreadsheetml/2009/9/main" objectType="Radio" lockText="1" noThreeD="1"/>
</file>

<file path=xl/ctrlProps/ctrlProp30.xml><?xml version="1.0" encoding="utf-8"?>
<formControlPr xmlns="http://schemas.microsoft.com/office/spreadsheetml/2009/9/main" objectType="Radio" checked="Checked" lockText="1" noThreeD="1"/>
</file>

<file path=xl/ctrlProps/ctrlProp31.xml><?xml version="1.0" encoding="utf-8"?>
<formControlPr xmlns="http://schemas.microsoft.com/office/spreadsheetml/2009/9/main" objectType="CheckBox" checked="Checked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6</xdr:row>
          <xdr:rowOff>9525</xdr:rowOff>
        </xdr:from>
        <xdr:to>
          <xdr:col>0</xdr:col>
          <xdr:colOff>361950</xdr:colOff>
          <xdr:row>10</xdr:row>
          <xdr:rowOff>0</xdr:rowOff>
        </xdr:to>
        <xdr:sp macro="" textlink="">
          <xdr:nvSpPr>
            <xdr:cNvPr id="4106" name="OperatingScenarioGroup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6</xdr:row>
          <xdr:rowOff>38100</xdr:rowOff>
        </xdr:from>
        <xdr:to>
          <xdr:col>0</xdr:col>
          <xdr:colOff>381000</xdr:colOff>
          <xdr:row>7</xdr:row>
          <xdr:rowOff>47625</xdr:rowOff>
        </xdr:to>
        <xdr:sp macro="" textlink="">
          <xdr:nvSpPr>
            <xdr:cNvPr id="4107" name="OperatingScenarioOption_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7</xdr:row>
          <xdr:rowOff>28575</xdr:rowOff>
        </xdr:from>
        <xdr:to>
          <xdr:col>0</xdr:col>
          <xdr:colOff>381000</xdr:colOff>
          <xdr:row>8</xdr:row>
          <xdr:rowOff>38100</xdr:rowOff>
        </xdr:to>
        <xdr:sp macro="" textlink="">
          <xdr:nvSpPr>
            <xdr:cNvPr id="4108" name="OperatingScenarioOption_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8</xdr:row>
          <xdr:rowOff>28575</xdr:rowOff>
        </xdr:from>
        <xdr:to>
          <xdr:col>0</xdr:col>
          <xdr:colOff>381000</xdr:colOff>
          <xdr:row>9</xdr:row>
          <xdr:rowOff>38100</xdr:rowOff>
        </xdr:to>
        <xdr:sp macro="" textlink="">
          <xdr:nvSpPr>
            <xdr:cNvPr id="4109" name="OperatingScenarioOption_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</xdr:row>
          <xdr:rowOff>114300</xdr:rowOff>
        </xdr:from>
        <xdr:to>
          <xdr:col>17</xdr:col>
          <xdr:colOff>790575</xdr:colOff>
          <xdr:row>14</xdr:row>
          <xdr:rowOff>123825</xdr:rowOff>
        </xdr:to>
        <xdr:sp macro="" textlink="">
          <xdr:nvSpPr>
            <xdr:cNvPr id="2103" name="RefiYearGroup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4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3</xdr:row>
          <xdr:rowOff>114300</xdr:rowOff>
        </xdr:from>
        <xdr:to>
          <xdr:col>18</xdr:col>
          <xdr:colOff>790575</xdr:colOff>
          <xdr:row>14</xdr:row>
          <xdr:rowOff>123825</xdr:rowOff>
        </xdr:to>
        <xdr:sp macro="" textlink="">
          <xdr:nvSpPr>
            <xdr:cNvPr id="2104" name="ExitYearGroup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4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4</xdr:row>
          <xdr:rowOff>9525</xdr:rowOff>
        </xdr:from>
        <xdr:to>
          <xdr:col>17</xdr:col>
          <xdr:colOff>409575</xdr:colOff>
          <xdr:row>5</xdr:row>
          <xdr:rowOff>19050</xdr:rowOff>
        </xdr:to>
        <xdr:sp macro="" textlink="">
          <xdr:nvSpPr>
            <xdr:cNvPr id="2105" name="RefiYearOption_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4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</xdr:row>
          <xdr:rowOff>9525</xdr:rowOff>
        </xdr:from>
        <xdr:to>
          <xdr:col>18</xdr:col>
          <xdr:colOff>409575</xdr:colOff>
          <xdr:row>5</xdr:row>
          <xdr:rowOff>19050</xdr:rowOff>
        </xdr:to>
        <xdr:sp macro="" textlink="">
          <xdr:nvSpPr>
            <xdr:cNvPr id="2106" name="ExitYearOption_1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4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5</xdr:row>
          <xdr:rowOff>9525</xdr:rowOff>
        </xdr:from>
        <xdr:to>
          <xdr:col>17</xdr:col>
          <xdr:colOff>409575</xdr:colOff>
          <xdr:row>6</xdr:row>
          <xdr:rowOff>19050</xdr:rowOff>
        </xdr:to>
        <xdr:sp macro="" textlink="">
          <xdr:nvSpPr>
            <xdr:cNvPr id="2107" name="RefiYearOption_2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4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5</xdr:row>
          <xdr:rowOff>9525</xdr:rowOff>
        </xdr:from>
        <xdr:to>
          <xdr:col>18</xdr:col>
          <xdr:colOff>409575</xdr:colOff>
          <xdr:row>6</xdr:row>
          <xdr:rowOff>19050</xdr:rowOff>
        </xdr:to>
        <xdr:sp macro="" textlink="">
          <xdr:nvSpPr>
            <xdr:cNvPr id="2108" name="ExitYearOption_2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4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6</xdr:row>
          <xdr:rowOff>9525</xdr:rowOff>
        </xdr:from>
        <xdr:to>
          <xdr:col>17</xdr:col>
          <xdr:colOff>409575</xdr:colOff>
          <xdr:row>7</xdr:row>
          <xdr:rowOff>28575</xdr:rowOff>
        </xdr:to>
        <xdr:sp macro="" textlink="">
          <xdr:nvSpPr>
            <xdr:cNvPr id="2109" name="RefiYearOption_3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4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6</xdr:row>
          <xdr:rowOff>9525</xdr:rowOff>
        </xdr:from>
        <xdr:to>
          <xdr:col>18</xdr:col>
          <xdr:colOff>409575</xdr:colOff>
          <xdr:row>7</xdr:row>
          <xdr:rowOff>28575</xdr:rowOff>
        </xdr:to>
        <xdr:sp macro="" textlink="">
          <xdr:nvSpPr>
            <xdr:cNvPr id="2110" name="ExitYearOption_3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4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7</xdr:row>
          <xdr:rowOff>9525</xdr:rowOff>
        </xdr:from>
        <xdr:to>
          <xdr:col>17</xdr:col>
          <xdr:colOff>409575</xdr:colOff>
          <xdr:row>8</xdr:row>
          <xdr:rowOff>28575</xdr:rowOff>
        </xdr:to>
        <xdr:sp macro="" textlink="">
          <xdr:nvSpPr>
            <xdr:cNvPr id="2111" name="RefiYearOption_4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4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</xdr:row>
          <xdr:rowOff>9525</xdr:rowOff>
        </xdr:from>
        <xdr:to>
          <xdr:col>18</xdr:col>
          <xdr:colOff>409575</xdr:colOff>
          <xdr:row>8</xdr:row>
          <xdr:rowOff>28575</xdr:rowOff>
        </xdr:to>
        <xdr:sp macro="" textlink="">
          <xdr:nvSpPr>
            <xdr:cNvPr id="2112" name="ExitYearOption_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4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8</xdr:row>
          <xdr:rowOff>9525</xdr:rowOff>
        </xdr:from>
        <xdr:to>
          <xdr:col>17</xdr:col>
          <xdr:colOff>409575</xdr:colOff>
          <xdr:row>9</xdr:row>
          <xdr:rowOff>28575</xdr:rowOff>
        </xdr:to>
        <xdr:sp macro="" textlink="">
          <xdr:nvSpPr>
            <xdr:cNvPr id="2113" name="RefiYearOption_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4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</xdr:row>
          <xdr:rowOff>9525</xdr:rowOff>
        </xdr:from>
        <xdr:to>
          <xdr:col>18</xdr:col>
          <xdr:colOff>409575</xdr:colOff>
          <xdr:row>9</xdr:row>
          <xdr:rowOff>28575</xdr:rowOff>
        </xdr:to>
        <xdr:sp macro="" textlink="">
          <xdr:nvSpPr>
            <xdr:cNvPr id="2114" name="ExitYearOption_5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4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9</xdr:row>
          <xdr:rowOff>9525</xdr:rowOff>
        </xdr:from>
        <xdr:to>
          <xdr:col>17</xdr:col>
          <xdr:colOff>409575</xdr:colOff>
          <xdr:row>10</xdr:row>
          <xdr:rowOff>28575</xdr:rowOff>
        </xdr:to>
        <xdr:sp macro="" textlink="">
          <xdr:nvSpPr>
            <xdr:cNvPr id="2115" name="RefiYearOption_6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4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</xdr:row>
          <xdr:rowOff>9525</xdr:rowOff>
        </xdr:from>
        <xdr:to>
          <xdr:col>18</xdr:col>
          <xdr:colOff>409575</xdr:colOff>
          <xdr:row>10</xdr:row>
          <xdr:rowOff>28575</xdr:rowOff>
        </xdr:to>
        <xdr:sp macro="" textlink="">
          <xdr:nvSpPr>
            <xdr:cNvPr id="2116" name="ExitYearOption_6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4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10</xdr:row>
          <xdr:rowOff>9525</xdr:rowOff>
        </xdr:from>
        <xdr:to>
          <xdr:col>17</xdr:col>
          <xdr:colOff>409575</xdr:colOff>
          <xdr:row>11</xdr:row>
          <xdr:rowOff>28575</xdr:rowOff>
        </xdr:to>
        <xdr:sp macro="" textlink="">
          <xdr:nvSpPr>
            <xdr:cNvPr id="2117" name="RefiYearOption_7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4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</xdr:row>
          <xdr:rowOff>9525</xdr:rowOff>
        </xdr:from>
        <xdr:to>
          <xdr:col>18</xdr:col>
          <xdr:colOff>409575</xdr:colOff>
          <xdr:row>11</xdr:row>
          <xdr:rowOff>28575</xdr:rowOff>
        </xdr:to>
        <xdr:sp macro="" textlink="">
          <xdr:nvSpPr>
            <xdr:cNvPr id="2118" name="ExitYearOption_7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4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11</xdr:row>
          <xdr:rowOff>9525</xdr:rowOff>
        </xdr:from>
        <xdr:to>
          <xdr:col>17</xdr:col>
          <xdr:colOff>409575</xdr:colOff>
          <xdr:row>12</xdr:row>
          <xdr:rowOff>28575</xdr:rowOff>
        </xdr:to>
        <xdr:sp macro="" textlink="">
          <xdr:nvSpPr>
            <xdr:cNvPr id="2119" name="RefiYearOption_8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4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11</xdr:row>
          <xdr:rowOff>9525</xdr:rowOff>
        </xdr:from>
        <xdr:to>
          <xdr:col>18</xdr:col>
          <xdr:colOff>409575</xdr:colOff>
          <xdr:row>12</xdr:row>
          <xdr:rowOff>28575</xdr:rowOff>
        </xdr:to>
        <xdr:sp macro="" textlink="">
          <xdr:nvSpPr>
            <xdr:cNvPr id="2120" name="ExitYearOption_8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4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12</xdr:row>
          <xdr:rowOff>9525</xdr:rowOff>
        </xdr:from>
        <xdr:to>
          <xdr:col>17</xdr:col>
          <xdr:colOff>409575</xdr:colOff>
          <xdr:row>13</xdr:row>
          <xdr:rowOff>28575</xdr:rowOff>
        </xdr:to>
        <xdr:sp macro="" textlink="">
          <xdr:nvSpPr>
            <xdr:cNvPr id="2121" name="RefiYearOption_9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4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12</xdr:row>
          <xdr:rowOff>9525</xdr:rowOff>
        </xdr:from>
        <xdr:to>
          <xdr:col>18</xdr:col>
          <xdr:colOff>409575</xdr:colOff>
          <xdr:row>13</xdr:row>
          <xdr:rowOff>28575</xdr:rowOff>
        </xdr:to>
        <xdr:sp macro="" textlink="">
          <xdr:nvSpPr>
            <xdr:cNvPr id="2122" name="ExitYearOption_9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4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114300</xdr:colOff>
          <xdr:row>13</xdr:row>
          <xdr:rowOff>9525</xdr:rowOff>
        </xdr:from>
        <xdr:to>
          <xdr:col>17</xdr:col>
          <xdr:colOff>409575</xdr:colOff>
          <xdr:row>14</xdr:row>
          <xdr:rowOff>28575</xdr:rowOff>
        </xdr:to>
        <xdr:sp macro="" textlink="">
          <xdr:nvSpPr>
            <xdr:cNvPr id="2123" name="RefiYearOption_10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4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13</xdr:row>
          <xdr:rowOff>9525</xdr:rowOff>
        </xdr:from>
        <xdr:to>
          <xdr:col>18</xdr:col>
          <xdr:colOff>409575</xdr:colOff>
          <xdr:row>14</xdr:row>
          <xdr:rowOff>28575</xdr:rowOff>
        </xdr:to>
        <xdr:sp macro="" textlink="">
          <xdr:nvSpPr>
            <xdr:cNvPr id="2124" name="ExitYearOption_1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4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142875</xdr:rowOff>
        </xdr:from>
        <xdr:to>
          <xdr:col>0</xdr:col>
          <xdr:colOff>581025</xdr:colOff>
          <xdr:row>20</xdr:row>
          <xdr:rowOff>38100</xdr:rowOff>
        </xdr:to>
        <xdr:sp macro="" textlink="">
          <xdr:nvSpPr>
            <xdr:cNvPr id="2129" name="WfSTR_Group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4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142875</xdr:colOff>
          <xdr:row>16</xdr:row>
          <xdr:rowOff>190500</xdr:rowOff>
        </xdr:from>
        <xdr:to>
          <xdr:col>0</xdr:col>
          <xdr:colOff>447675</xdr:colOff>
          <xdr:row>18</xdr:row>
          <xdr:rowOff>9525</xdr:rowOff>
        </xdr:to>
        <xdr:sp macro="" textlink="">
          <xdr:nvSpPr>
            <xdr:cNvPr id="2130" name="WfSTR_Opt_1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4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142875</xdr:colOff>
          <xdr:row>17</xdr:row>
          <xdr:rowOff>190500</xdr:rowOff>
        </xdr:from>
        <xdr:to>
          <xdr:col>0</xdr:col>
          <xdr:colOff>447675</xdr:colOff>
          <xdr:row>19</xdr:row>
          <xdr:rowOff>9525</xdr:rowOff>
        </xdr:to>
        <xdr:sp macro="" textlink="">
          <xdr:nvSpPr>
            <xdr:cNvPr id="2131" name="WfSTR_Opt_2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4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142875</xdr:colOff>
          <xdr:row>18</xdr:row>
          <xdr:rowOff>190500</xdr:rowOff>
        </xdr:from>
        <xdr:to>
          <xdr:col>0</xdr:col>
          <xdr:colOff>447675</xdr:colOff>
          <xdr:row>20</xdr:row>
          <xdr:rowOff>9525</xdr:rowOff>
        </xdr:to>
        <xdr:sp macro="" textlink="">
          <xdr:nvSpPr>
            <xdr:cNvPr id="2132" name="WfSTR_Opt_3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4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8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392AE6-CE9A-4ABE-997D-0EEE4423362E}" name="STRScenarioTable" displayName="STRScenarioTable" ref="A24:L34" totalsRowShown="0" headerRowDxfId="78" dataDxfId="77">
  <autoFilter ref="A24:L34" xr:uid="{56392AE6-CE9A-4ABE-997D-0EEE4423362E}"/>
  <tableColumns count="12">
    <tableColumn id="1" xr3:uid="{173C3D8B-18A7-44F2-89B7-D176B5DFEF26}" name="Year" dataDxfId="76"/>
    <tableColumn id="2" xr3:uid="{1506208F-1012-4D34-A8CD-19D792CC1519}" name="Rent Case" dataDxfId="75">
      <calculatedColumnFormula>IF(STRScenarioTable[[#This Row],[Year]]&gt;=RentScenarioHighEffectiveYear,"High",IF(STRScenarioTable[[#This Row],[Year]]&gt;=RentScenarioMediumEffectiveYear,"Medium",IF(STRScenarioTable[[#This Row],[Year]]&gt;=RentScenarioLowEffectiveYear,"Low","None")))</calculatedColumnFormula>
    </tableColumn>
    <tableColumn id="3" xr3:uid="{14D1FFD5-EE0C-4BA1-9B10-5056F8BF01BA}" name="Base Monthly Gross Rent" dataDxfId="74">
      <calculatedColumnFormula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calculatedColumnFormula>
    </tableColumn>
    <tableColumn id="4" xr3:uid="{FE2CCBB6-FCF1-4214-93E8-E8F6008CE854}" name="Base Annual Gross Rent" dataDxfId="73">
      <calculatedColumnFormula>STRScenarioTable[[#This Row],[Base Monthly Gross Rent]]*12</calculatedColumnFormula>
    </tableColumn>
    <tableColumn id="5" xr3:uid="{78A4433F-3E58-4E9D-9594-18B655A1D945}" name="One-Floor STR Weekly Rent" dataDxfId="72">
      <calculatedColumnFormula>IF(STRScenarioTable[[#This Row],[Year]]&gt;=3,$F$14,IF(STRScenarioTable[[#This Row],[Year]]&gt;=2,$E$14,$D$14))</calculatedColumnFormula>
    </tableColumn>
    <tableColumn id="6" xr3:uid="{64E4967B-CA8F-40B1-BA70-D60A867B448D}" name="One-Floor STR Occupancy" dataDxfId="71">
      <calculatedColumnFormula>IF(STRScenarioTable[[#This Row],[Year]]&gt;=3,$F$15,IF(STRScenarioTable[[#This Row],[Year]]&gt;=2,$E$15,$D$15))</calculatedColumnFormula>
    </tableColumn>
    <tableColumn id="7" xr3:uid="{F0E7A272-EDCB-477D-BC10-3BD562043AB5}" name="Other Floor Annual Rent" dataDxfId="70">
      <calculatedColumnFormula>STRScenarioTable[[#This Row],[Base Annual Gross Rent]]/2</calculatedColumnFormula>
    </tableColumn>
    <tableColumn id="8" xr3:uid="{4D0C595B-3CBB-4CA0-90CF-53E1779DC7DD}" name="One-Floor STR Annual Gross" dataDxfId="69">
      <calculatedColumnFormula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calculatedColumnFormula>
    </tableColumn>
    <tableColumn id="9" xr3:uid="{F120EB71-62B9-4C3B-AF37-5571A5A6BABC}" name="Whole-Building STR Weekly Rent" dataDxfId="68">
      <calculatedColumnFormula>IF(STRScenarioTable[[#This Row],[Year]]&gt;=3,$F$16,IF(STRScenarioTable[[#This Row],[Year]]&gt;=2,$E$16,$D$16))</calculatedColumnFormula>
    </tableColumn>
    <tableColumn id="10" xr3:uid="{3D28F200-56AC-4E50-8E82-77D5C2BC4FCF}" name="Whole-Building STR Occupancy" dataDxfId="67">
      <calculatedColumnFormula>IF(STRScenarioTable[[#This Row],[Year]]&gt;=3,$F$17,IF(STRScenarioTable[[#This Row],[Year]]&gt;=2,$E$17,$D$17))</calculatedColumnFormula>
    </tableColumn>
    <tableColumn id="11" xr3:uid="{B6A71EE6-642E-4EBF-84CB-B6DC9030DECB}" name="Whole-Building STR Annual Gross" dataDxfId="66">
      <calculatedColumnFormula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calculatedColumnFormula>
    </tableColumn>
    <tableColumn id="12" xr3:uid="{8DF7C8CB-952F-49E7-9614-693E7B8E3034}" name="Selected Annual Gross Rent" dataDxfId="65">
      <calculatedColumnFormula>CHOOSE(SelectedOperatingScenarioId,STRScenarioTable[[#This Row],[Base Annual Gross Rent]],STRScenarioTable[[#This Row],[One-Floor STR Annual Gross]],STRScenarioTable[[#This Row],[Whole-Building STR Annual Gross]])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P14" totalsRowShown="0" headerRowDxfId="64" dataDxfId="62" headerRowBorderDxfId="63" tableBorderDxfId="61">
  <autoFilter ref="A3:P14" xr:uid="{31008567-CFA1-42A9-9327-0B98502CA80D}"/>
  <tableColumns count="16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Row],[Year]]&gt;SaleExitYear,0,IF(AnnualModelTable[[#This Row],[Year]]=0,0,INDEX(STRScenarioTable[Selected Annual Gross Rent],MATCH(AnnualModelTable[[#This Row],[Year]],STRScenarioTable[Year],0))))</calculatedColumnFormula>
    </tableColumn>
    <tableColumn id="4" xr3:uid="{A38FFCD2-F44E-495B-8D1F-57AADF574C32}" name="Occupancy Effective Gross Income" dataDxfId="57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6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5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4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3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2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5" xr3:uid="{E8B22446-4188-493F-BD49-F553035A3633}" name="Reserve Funding" dataDxfId="51">
      <calculatedColumnFormula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calculatedColumnFormula>
    </tableColumn>
    <tableColumn id="16" xr3:uid="{D4FF068F-E56B-4084-A407-79EFAC775D57}" name="Reserve Balance" dataDxfId="50">
      <calculatedColumnFormula>IF(AnnualModelTable[[#This Row],[Year]]&gt;SaleExitYear,0,IF(AnnualModelTable[[#This Row],[Year]]=0,0,IFERROR(INDEX(AnnualModelTable[Reserve Balance],MATCH(AnnualModelTable[[#This Row],[Year]]-1,AnnualModelTable[Year],0)),0)+AnnualModelTable[[#This Row],[Reserve Funding]]))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IF(WaterfallTable[[#This Row],[Year]]&gt;SaleExitYear,0,WaterfallTable[[#This Row],[Capital Balance A]]*ClassAPreferredReturn)</calculatedColumnFormula>
    </tableColumn>
    <tableColumn id="4" xr3:uid="{0A235952-CB75-4C81-B69D-F32174DEACC4}" name="Pref Paid" dataDxfId="37">
      <calculatedColumnFormula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calculatedColumnFormula>
    </tableColumn>
    <tableColumn id="5" xr3:uid="{6DFBF4A6-C663-4C39-BE8E-9DCEE6178410}" name="End of Year Pref Balance" dataDxfId="36">
      <calculatedColumnFormula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calculatedColumnFormula>
    </tableColumn>
    <tableColumn id="6" xr3:uid="{FDF1F9D4-D2FF-4A88-92C0-BF4E451BAD9D}" name="Capital Balance A" dataDxfId="35">
      <calculatedColumnFormula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calculatedColumnFormula>
    </tableColumn>
    <tableColumn id="7" xr3:uid="{34EB8429-3184-49EF-8624-9DBDD7E02121}" name="Capital Returned A" dataDxfId="34">
      <calculatedColumnFormula>IF(WaterfallTable[[#This Row],[Year]]&gt;SaleExitYear,0,IF(WaterfallTable[[#This Row],[Year]]=0,0,MIN(WaterfallTable[[#This Row],[Cash Available]],WaterfallTable[[#This Row],[Capital Balance A]])))</calculatedColumnFormula>
    </tableColumn>
    <tableColumn id="10" xr3:uid="{95297546-7CDB-4A1F-B087-2907F3FB7729}" name="Residual A" dataDxfId="33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calculatedColumnFormula>
    </tableColumn>
    <tableColumn id="11" xr3:uid="{ECBC678F-113A-47C3-9364-8CD715F8612B}" name="Total Dist A" dataDxfId="32">
      <calculatedColumnFormula>IF(WaterfallTable[[#This Row],[Year]]&gt;SaleExitYear,0,WaterfallTable[[#This Row],[Pref Paid]]+WaterfallTable[[#This Row],[Capital Returned A]]+WaterfallTable[[#This Row],[Residual A]])</calculatedColumnFormula>
    </tableColumn>
    <tableColumn id="12" xr3:uid="{BEF54E58-ED5B-4464-961D-44F9013F8D13}" name=" Capital Balance B" dataDxfId="31">
      <calculatedColumnFormula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calculatedColumnFormula>
    </tableColumn>
    <tableColumn id="13" xr3:uid="{8618A2D6-0D65-4F24-926F-2BA7C19C6665}" name="Capital Returned B" dataDxfId="30">
      <calculatedColumnFormula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calculatedColumnFormula>
    </tableColumn>
    <tableColumn id="15" xr3:uid="{C6BA9C98-8524-487F-80FD-8C218B59A3B5}" name=" Residual   B" dataDxfId="29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calculatedColumnFormula>
    </tableColumn>
    <tableColumn id="16" xr3:uid="{454E747C-8827-40D6-81A5-1743C488D4FD}" name="Total Dist B" dataDxfId="28">
      <calculatedColumnFormula>IF(WaterfallTable[[#This Row],[Year]]&gt;SaleExitYear,0,WaterfallTable[[#This Row],[Capital Returned B]]+WaterfallTable[[#This Row],[ Residual   B]])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calculatedColumnFormula>
    </tableColumn>
    <tableColumn id="19" xr3:uid="{B1D631F1-3DB1-43F4-AA61-DD5D4F2AA342}" name="Total Dist2" dataDxfId="25">
      <calculatedColumnFormula>IF(WaterfallTable[[#This Row],[Year]]&gt;SaleExitYear,0,WaterfallTable[[#This Row],[Property Payment]]+WaterfallTable[[#This Row],[Residual]])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23:S27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C24-B24</calculatedColumnFormula>
    </tableColumn>
    <tableColumn id="5" xr3:uid="{10FF1ED7-A502-4F2E-A54A-B0007AA7263A}" name="Year 1" dataDxfId="15">
      <calculatedColumnFormula>IFERROR(C24/B24,0)</calculatedColumnFormula>
    </tableColumn>
    <tableColumn id="6" xr3:uid="{ECDBC3DC-2987-4B43-8FA8-210E2BD2C527}" name="Year 2" dataDxfId="14">
      <calculatedColumnFormula>IFERROR(D24/B24,0)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13" Type="http://schemas.openxmlformats.org/officeDocument/2006/relationships/ctrlProp" Target="../ctrlProps/ctrlProp14.xml"/><Relationship Id="rId18" Type="http://schemas.openxmlformats.org/officeDocument/2006/relationships/ctrlProp" Target="../ctrlProps/ctrlProp19.xml"/><Relationship Id="rId26" Type="http://schemas.openxmlformats.org/officeDocument/2006/relationships/ctrlProp" Target="../ctrlProps/ctrlProp27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22.xml"/><Relationship Id="rId7" Type="http://schemas.openxmlformats.org/officeDocument/2006/relationships/ctrlProp" Target="../ctrlProps/ctrlProp8.xml"/><Relationship Id="rId12" Type="http://schemas.openxmlformats.org/officeDocument/2006/relationships/ctrlProp" Target="../ctrlProps/ctrlProp13.xml"/><Relationship Id="rId17" Type="http://schemas.openxmlformats.org/officeDocument/2006/relationships/ctrlProp" Target="../ctrlProps/ctrlProp18.xml"/><Relationship Id="rId25" Type="http://schemas.openxmlformats.org/officeDocument/2006/relationships/ctrlProp" Target="../ctrlProps/ctrlProp2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7.xml"/><Relationship Id="rId20" Type="http://schemas.openxmlformats.org/officeDocument/2006/relationships/ctrlProp" Target="../ctrlProps/ctrlProp21.xml"/><Relationship Id="rId29" Type="http://schemas.openxmlformats.org/officeDocument/2006/relationships/ctrlProp" Target="../ctrlProps/ctrlProp30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7.xml"/><Relationship Id="rId11" Type="http://schemas.openxmlformats.org/officeDocument/2006/relationships/ctrlProp" Target="../ctrlProps/ctrlProp12.xml"/><Relationship Id="rId24" Type="http://schemas.openxmlformats.org/officeDocument/2006/relationships/ctrlProp" Target="../ctrlProps/ctrlProp25.xml"/><Relationship Id="rId5" Type="http://schemas.openxmlformats.org/officeDocument/2006/relationships/ctrlProp" Target="../ctrlProps/ctrlProp6.xml"/><Relationship Id="rId15" Type="http://schemas.openxmlformats.org/officeDocument/2006/relationships/ctrlProp" Target="../ctrlProps/ctrlProp16.xml"/><Relationship Id="rId23" Type="http://schemas.openxmlformats.org/officeDocument/2006/relationships/ctrlProp" Target="../ctrlProps/ctrlProp24.xml"/><Relationship Id="rId28" Type="http://schemas.openxmlformats.org/officeDocument/2006/relationships/ctrlProp" Target="../ctrlProps/ctrlProp29.xml"/><Relationship Id="rId10" Type="http://schemas.openxmlformats.org/officeDocument/2006/relationships/ctrlProp" Target="../ctrlProps/ctrlProp11.xml"/><Relationship Id="rId19" Type="http://schemas.openxmlformats.org/officeDocument/2006/relationships/ctrlProp" Target="../ctrlProps/ctrlProp20.xml"/><Relationship Id="rId31" Type="http://schemas.openxmlformats.org/officeDocument/2006/relationships/table" Target="../tables/table4.xml"/><Relationship Id="rId4" Type="http://schemas.openxmlformats.org/officeDocument/2006/relationships/ctrlProp" Target="../ctrlProps/ctrlProp5.xml"/><Relationship Id="rId9" Type="http://schemas.openxmlformats.org/officeDocument/2006/relationships/ctrlProp" Target="../ctrlProps/ctrlProp10.xml"/><Relationship Id="rId14" Type="http://schemas.openxmlformats.org/officeDocument/2006/relationships/ctrlProp" Target="../ctrlProps/ctrlProp15.xml"/><Relationship Id="rId22" Type="http://schemas.openxmlformats.org/officeDocument/2006/relationships/ctrlProp" Target="../ctrlProps/ctrlProp23.xml"/><Relationship Id="rId27" Type="http://schemas.openxmlformats.org/officeDocument/2006/relationships/ctrlProp" Target="../ctrlProps/ctrlProp28.xml"/><Relationship Id="rId30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8E2C-7773-485E-AD27-0B7A774BB067}">
  <dimension ref="A1:A9"/>
  <sheetViews>
    <sheetView workbookViewId="0"/>
  </sheetViews>
  <sheetFormatPr defaultRowHeight="15" x14ac:dyDescent="0.25"/>
  <cols>
    <col min="1" max="1" width="196" bestFit="1" customWidth="1"/>
  </cols>
  <sheetData>
    <row r="1" spans="1:1" ht="21" x14ac:dyDescent="0.35">
      <c r="A1" s="62" t="s">
        <v>367</v>
      </c>
    </row>
    <row r="3" spans="1:1" x14ac:dyDescent="0.25">
      <c r="A3" t="s">
        <v>368</v>
      </c>
    </row>
    <row r="5" spans="1:1" x14ac:dyDescent="0.25">
      <c r="A5" t="s">
        <v>369</v>
      </c>
    </row>
    <row r="7" spans="1:1" x14ac:dyDescent="0.25">
      <c r="A7" t="s">
        <v>370</v>
      </c>
    </row>
    <row r="9" spans="1:1" x14ac:dyDescent="0.25">
      <c r="A9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B11C-B002-4F74-ADFF-38033F10707F}">
  <sheetPr>
    <tabColor rgb="FFFFA366"/>
  </sheetPr>
  <dimension ref="A1:O34"/>
  <sheetViews>
    <sheetView topLeftCell="A5" workbookViewId="0">
      <selection activeCell="O19" sqref="O19"/>
    </sheetView>
  </sheetViews>
  <sheetFormatPr defaultRowHeight="15" x14ac:dyDescent="0.25"/>
  <cols>
    <col min="1" max="1" width="8.7109375" customWidth="1"/>
    <col min="2" max="2" width="10.140625" customWidth="1"/>
    <col min="3" max="3" width="14.85546875" customWidth="1"/>
    <col min="4" max="4" width="13.85546875" customWidth="1"/>
    <col min="5" max="5" width="13" customWidth="1"/>
    <col min="6" max="6" width="11.28515625" customWidth="1"/>
    <col min="7" max="8" width="10.7109375" customWidth="1"/>
    <col min="9" max="9" width="15" customWidth="1"/>
    <col min="10" max="10" width="13" customWidth="1"/>
    <col min="11" max="11" width="12.7109375" customWidth="1"/>
    <col min="12" max="12" width="12.42578125" customWidth="1"/>
  </cols>
  <sheetData>
    <row r="1" spans="1:10" ht="21" x14ac:dyDescent="0.35">
      <c r="A1" s="77" t="s">
        <v>329</v>
      </c>
      <c r="B1" s="78"/>
      <c r="C1" s="78"/>
      <c r="D1" s="78"/>
    </row>
    <row r="2" spans="1:10" ht="15.75" thickBot="1" x14ac:dyDescent="0.3">
      <c r="B2" s="78" t="s">
        <v>333</v>
      </c>
      <c r="C2" s="78"/>
      <c r="D2" s="78"/>
    </row>
    <row r="3" spans="1:10" ht="15.75" thickBot="1" x14ac:dyDescent="0.3">
      <c r="A3" s="5" t="s">
        <v>330</v>
      </c>
      <c r="H3" s="72" t="s">
        <v>372</v>
      </c>
    </row>
    <row r="4" spans="1:10" ht="15.75" thickBot="1" x14ac:dyDescent="0.3">
      <c r="A4" t="s">
        <v>331</v>
      </c>
      <c r="D4" s="91" t="str">
        <f>IF(OR($H$4&lt;1,$H$4&gt;3),"",INDEX($B$7:$B$9,$H$4))</f>
        <v>Whole Building STR</v>
      </c>
      <c r="E4" s="92"/>
      <c r="F4" s="93"/>
      <c r="H4" s="75">
        <v>3</v>
      </c>
    </row>
    <row r="5" spans="1:10" ht="15.75" thickBot="1" x14ac:dyDescent="0.3"/>
    <row r="6" spans="1:10" ht="15.75" thickBot="1" x14ac:dyDescent="0.3">
      <c r="A6" s="12" t="s">
        <v>373</v>
      </c>
      <c r="B6" s="79" t="s">
        <v>374</v>
      </c>
      <c r="C6" s="80"/>
      <c r="D6" s="81"/>
      <c r="E6" s="79" t="s">
        <v>375</v>
      </c>
      <c r="F6" s="80"/>
      <c r="G6" s="80"/>
      <c r="H6" s="80"/>
      <c r="I6" s="80"/>
      <c r="J6" s="81"/>
    </row>
    <row r="7" spans="1:10" ht="15.75" thickBot="1" x14ac:dyDescent="0.3">
      <c r="B7" s="82" t="s">
        <v>332</v>
      </c>
      <c r="C7" s="83"/>
      <c r="D7" s="84"/>
      <c r="E7" s="82" t="s">
        <v>336</v>
      </c>
      <c r="F7" s="83"/>
      <c r="G7" s="83"/>
      <c r="H7" s="83"/>
      <c r="I7" s="83"/>
      <c r="J7" s="84"/>
    </row>
    <row r="8" spans="1:10" ht="15.75" thickBot="1" x14ac:dyDescent="0.3">
      <c r="B8" s="85" t="s">
        <v>334</v>
      </c>
      <c r="C8" s="86"/>
      <c r="D8" s="87"/>
      <c r="E8" s="85" t="s">
        <v>376</v>
      </c>
      <c r="F8" s="86"/>
      <c r="G8" s="86"/>
      <c r="H8" s="86"/>
      <c r="I8" s="86"/>
      <c r="J8" s="87"/>
    </row>
    <row r="9" spans="1:10" ht="15.75" thickBot="1" x14ac:dyDescent="0.3">
      <c r="B9" s="88" t="s">
        <v>335</v>
      </c>
      <c r="C9" s="89"/>
      <c r="D9" s="90"/>
      <c r="E9" s="88" t="s">
        <v>377</v>
      </c>
      <c r="F9" s="89"/>
      <c r="G9" s="89"/>
      <c r="H9" s="89"/>
      <c r="I9" s="89"/>
      <c r="J9" s="90"/>
    </row>
    <row r="12" spans="1:10" x14ac:dyDescent="0.25">
      <c r="A12" s="94" t="s">
        <v>337</v>
      </c>
      <c r="B12" s="94"/>
      <c r="C12" s="94"/>
    </row>
    <row r="13" spans="1:10" ht="30" x14ac:dyDescent="0.25">
      <c r="A13" s="67" t="s">
        <v>338</v>
      </c>
      <c r="B13" s="67"/>
      <c r="C13" s="67"/>
      <c r="D13" s="67" t="s">
        <v>339</v>
      </c>
      <c r="E13" s="67" t="s">
        <v>340</v>
      </c>
      <c r="F13" s="67" t="s">
        <v>341</v>
      </c>
      <c r="G13" s="67" t="s">
        <v>292</v>
      </c>
    </row>
    <row r="14" spans="1:10" x14ac:dyDescent="0.25">
      <c r="A14" s="95" t="s">
        <v>342</v>
      </c>
      <c r="B14" s="95"/>
      <c r="C14" s="95"/>
      <c r="D14" s="68">
        <v>2500</v>
      </c>
      <c r="E14" s="68">
        <v>3250</v>
      </c>
      <c r="F14" s="68">
        <v>4000</v>
      </c>
      <c r="G14" s="74" t="s">
        <v>343</v>
      </c>
      <c r="H14" s="74"/>
      <c r="I14" s="74"/>
      <c r="J14" s="74"/>
    </row>
    <row r="15" spans="1:10" x14ac:dyDescent="0.25">
      <c r="A15" s="95" t="s">
        <v>344</v>
      </c>
      <c r="B15" s="95"/>
      <c r="C15" s="95"/>
      <c r="D15" s="69">
        <v>0.4</v>
      </c>
      <c r="E15" s="69">
        <v>0.5</v>
      </c>
      <c r="F15" s="69">
        <v>0.6</v>
      </c>
      <c r="G15" s="74" t="s">
        <v>345</v>
      </c>
      <c r="H15" s="74"/>
      <c r="I15" s="74"/>
      <c r="J15" s="74"/>
    </row>
    <row r="16" spans="1:10" x14ac:dyDescent="0.25">
      <c r="A16" s="96" t="s">
        <v>346</v>
      </c>
      <c r="B16" s="96"/>
      <c r="C16" s="96"/>
      <c r="D16" s="70">
        <v>4500</v>
      </c>
      <c r="E16" s="70">
        <v>6000</v>
      </c>
      <c r="F16" s="70">
        <v>7500</v>
      </c>
      <c r="G16" s="73" t="s">
        <v>347</v>
      </c>
      <c r="H16" s="73"/>
      <c r="I16" s="73"/>
      <c r="J16" s="73"/>
    </row>
    <row r="17" spans="1:15" x14ac:dyDescent="0.25">
      <c r="A17" s="96" t="s">
        <v>348</v>
      </c>
      <c r="B17" s="96"/>
      <c r="C17" s="96"/>
      <c r="D17" s="71">
        <v>0.35</v>
      </c>
      <c r="E17" s="71">
        <v>0.45</v>
      </c>
      <c r="F17" s="71">
        <v>0.55000000000000004</v>
      </c>
      <c r="G17" s="73" t="s">
        <v>345</v>
      </c>
      <c r="H17" s="73"/>
      <c r="I17" s="73"/>
      <c r="J17" s="73"/>
    </row>
    <row r="18" spans="1:15" x14ac:dyDescent="0.25">
      <c r="A18" s="78" t="s">
        <v>349</v>
      </c>
      <c r="B18" s="78"/>
      <c r="C18" s="78"/>
      <c r="D18" s="63">
        <v>0.08</v>
      </c>
      <c r="E18" s="63">
        <v>0.09</v>
      </c>
      <c r="F18" s="63">
        <v>0.1</v>
      </c>
      <c r="G18" t="s">
        <v>350</v>
      </c>
    </row>
    <row r="19" spans="1:15" x14ac:dyDescent="0.25">
      <c r="A19" s="78" t="s">
        <v>351</v>
      </c>
      <c r="B19" s="78"/>
      <c r="C19" s="78"/>
      <c r="D19" s="2">
        <v>250</v>
      </c>
      <c r="E19" s="2">
        <v>300</v>
      </c>
      <c r="F19" s="2">
        <v>350</v>
      </c>
      <c r="G19" t="s">
        <v>352</v>
      </c>
    </row>
    <row r="23" spans="1:15" x14ac:dyDescent="0.25">
      <c r="A23" s="94" t="s">
        <v>353</v>
      </c>
      <c r="B23" s="94"/>
      <c r="C23" s="94"/>
    </row>
    <row r="24" spans="1:15" s="66" customFormat="1" ht="60" x14ac:dyDescent="0.25">
      <c r="A24" s="66" t="s">
        <v>55</v>
      </c>
      <c r="B24" s="66" t="s">
        <v>354</v>
      </c>
      <c r="C24" s="66" t="s">
        <v>355</v>
      </c>
      <c r="D24" s="66" t="s">
        <v>356</v>
      </c>
      <c r="E24" s="66" t="s">
        <v>357</v>
      </c>
      <c r="F24" s="66" t="s">
        <v>358</v>
      </c>
      <c r="G24" s="66" t="s">
        <v>359</v>
      </c>
      <c r="H24" s="66" t="s">
        <v>360</v>
      </c>
      <c r="I24" s="66" t="s">
        <v>361</v>
      </c>
      <c r="J24" s="66" t="s">
        <v>362</v>
      </c>
      <c r="K24" s="66" t="s">
        <v>363</v>
      </c>
      <c r="L24" s="66" t="s">
        <v>364</v>
      </c>
    </row>
    <row r="25" spans="1:15" x14ac:dyDescent="0.25">
      <c r="A25" s="2">
        <v>1</v>
      </c>
      <c r="B25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Low</v>
      </c>
      <c r="C25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8800</v>
      </c>
      <c r="D25" s="9">
        <f>STRScenarioTable[[#This Row],[Base Monthly Gross Rent]]*12</f>
        <v>105600</v>
      </c>
      <c r="E25" s="68">
        <f>IF(STRScenarioTable[[#This Row],[Year]]&gt;=3,$F$14,IF(STRScenarioTable[[#This Row],[Year]]&gt;=2,$E$14,$D$14))</f>
        <v>2500</v>
      </c>
      <c r="F25" s="69">
        <f>IF(STRScenarioTable[[#This Row],[Year]]&gt;=3,$F$15,IF(STRScenarioTable[[#This Row],[Year]]&gt;=2,$E$15,$D$15))</f>
        <v>0.4</v>
      </c>
      <c r="G25" s="68">
        <f>STRScenarioTable[[#This Row],[Base Annual Gross Rent]]/2</f>
        <v>52800</v>
      </c>
      <c r="H25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95440</v>
      </c>
      <c r="I25" s="70">
        <f>IF(STRScenarioTable[[#This Row],[Year]]&gt;=3,$F$16,IF(STRScenarioTable[[#This Row],[Year]]&gt;=2,$E$16,$D$16))</f>
        <v>4500</v>
      </c>
      <c r="J25" s="71">
        <f>IF(STRScenarioTable[[#This Row],[Year]]&gt;=3,$F$17,IF(STRScenarioTable[[#This Row],[Year]]&gt;=2,$E$17,$D$17))</f>
        <v>0.35</v>
      </c>
      <c r="K25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70798</v>
      </c>
      <c r="L25" s="2">
        <f>CHOOSE(SelectedOperatingScenarioId,STRScenarioTable[[#This Row],[Base Annual Gross Rent]],STRScenarioTable[[#This Row],[One-Floor STR Annual Gross]],STRScenarioTable[[#This Row],[Whole-Building STR Annual Gross]])</f>
        <v>70798</v>
      </c>
      <c r="O25" s="2">
        <f>SUM(SelectedAnnualGrossRent)</f>
        <v>1655862</v>
      </c>
    </row>
    <row r="26" spans="1:15" x14ac:dyDescent="0.25">
      <c r="A26" s="2">
        <v>2</v>
      </c>
      <c r="B26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Medium</v>
      </c>
      <c r="C26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10800</v>
      </c>
      <c r="D26" s="9">
        <f>STRScenarioTable[[#This Row],[Base Monthly Gross Rent]]*12</f>
        <v>129600</v>
      </c>
      <c r="E26" s="68">
        <f>IF(STRScenarioTable[[#This Row],[Year]]&gt;=3,$F$14,IF(STRScenarioTable[[#This Row],[Year]]&gt;=2,$E$14,$D$14))</f>
        <v>3250</v>
      </c>
      <c r="F26" s="69">
        <f>IF(STRScenarioTable[[#This Row],[Year]]&gt;=3,$F$15,IF(STRScenarioTable[[#This Row],[Year]]&gt;=2,$E$15,$D$15))</f>
        <v>0.5</v>
      </c>
      <c r="G26" s="68">
        <f>STRScenarioTable[[#This Row],[Base Annual Gross Rent]]/2</f>
        <v>64800</v>
      </c>
      <c r="H26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133895</v>
      </c>
      <c r="I26" s="70">
        <f>IF(STRScenarioTable[[#This Row],[Year]]&gt;=3,$F$16,IF(STRScenarioTable[[#This Row],[Year]]&gt;=2,$E$16,$D$16))</f>
        <v>6000</v>
      </c>
      <c r="J26" s="71">
        <f>IF(STRScenarioTable[[#This Row],[Year]]&gt;=3,$F$17,IF(STRScenarioTable[[#This Row],[Year]]&gt;=2,$E$17,$D$17))</f>
        <v>0.45</v>
      </c>
      <c r="K26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120744</v>
      </c>
      <c r="L26" s="2">
        <f>CHOOSE(SelectedOperatingScenarioId,STRScenarioTable[[#This Row],[Base Annual Gross Rent]],STRScenarioTable[[#This Row],[One-Floor STR Annual Gross]],STRScenarioTable[[#This Row],[Whole-Building STR Annual Gross]])</f>
        <v>120744</v>
      </c>
    </row>
    <row r="27" spans="1:15" x14ac:dyDescent="0.25">
      <c r="A27" s="2">
        <v>3</v>
      </c>
      <c r="B27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7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7" s="9">
        <f>STRScenarioTable[[#This Row],[Base Monthly Gross Rent]]*12</f>
        <v>144000</v>
      </c>
      <c r="E27" s="68">
        <f>IF(STRScenarioTable[[#This Row],[Year]]&gt;=3,$F$14,IF(STRScenarioTable[[#This Row],[Year]]&gt;=2,$E$14,$D$14))</f>
        <v>4000</v>
      </c>
      <c r="F27" s="69">
        <f>IF(STRScenarioTable[[#This Row],[Year]]&gt;=3,$F$15,IF(STRScenarioTable[[#This Row],[Year]]&gt;=2,$E$15,$D$15))</f>
        <v>0.6</v>
      </c>
      <c r="G27" s="68">
        <f>STRScenarioTable[[#This Row],[Base Annual Gross Rent]]/2</f>
        <v>72000</v>
      </c>
      <c r="H27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7" s="70">
        <f>IF(STRScenarioTable[[#This Row],[Year]]&gt;=3,$F$16,IF(STRScenarioTable[[#This Row],[Year]]&gt;=2,$E$16,$D$16))</f>
        <v>7500</v>
      </c>
      <c r="J27" s="71">
        <f>IF(STRScenarioTable[[#This Row],[Year]]&gt;=3,$F$17,IF(STRScenarioTable[[#This Row],[Year]]&gt;=2,$E$17,$D$17))</f>
        <v>0.55000000000000004</v>
      </c>
      <c r="K27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7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8" spans="1:15" x14ac:dyDescent="0.25">
      <c r="A28" s="2">
        <v>4</v>
      </c>
      <c r="B28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8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8" s="9">
        <f>STRScenarioTable[[#This Row],[Base Monthly Gross Rent]]*12</f>
        <v>144000</v>
      </c>
      <c r="E28" s="68">
        <f>IF(STRScenarioTable[[#This Row],[Year]]&gt;=3,$F$14,IF(STRScenarioTable[[#This Row],[Year]]&gt;=2,$E$14,$D$14))</f>
        <v>4000</v>
      </c>
      <c r="F28" s="69">
        <f>IF(STRScenarioTable[[#This Row],[Year]]&gt;=3,$F$15,IF(STRScenarioTable[[#This Row],[Year]]&gt;=2,$E$15,$D$15))</f>
        <v>0.6</v>
      </c>
      <c r="G28" s="68">
        <f>STRScenarioTable[[#This Row],[Base Annual Gross Rent]]/2</f>
        <v>72000</v>
      </c>
      <c r="H28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8" s="70">
        <f>IF(STRScenarioTable[[#This Row],[Year]]&gt;=3,$F$16,IF(STRScenarioTable[[#This Row],[Year]]&gt;=2,$E$16,$D$16))</f>
        <v>7500</v>
      </c>
      <c r="J28" s="71">
        <f>IF(STRScenarioTable[[#This Row],[Year]]&gt;=3,$F$17,IF(STRScenarioTable[[#This Row],[Year]]&gt;=2,$E$17,$D$17))</f>
        <v>0.55000000000000004</v>
      </c>
      <c r="K28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8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9" spans="1:15" x14ac:dyDescent="0.25">
      <c r="A29" s="2">
        <v>5</v>
      </c>
      <c r="B29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9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9" s="9">
        <f>STRScenarioTable[[#This Row],[Base Monthly Gross Rent]]*12</f>
        <v>144000</v>
      </c>
      <c r="E29" s="68">
        <f>IF(STRScenarioTable[[#This Row],[Year]]&gt;=3,$F$14,IF(STRScenarioTable[[#This Row],[Year]]&gt;=2,$E$14,$D$14))</f>
        <v>4000</v>
      </c>
      <c r="F29" s="69">
        <f>IF(STRScenarioTable[[#This Row],[Year]]&gt;=3,$F$15,IF(STRScenarioTable[[#This Row],[Year]]&gt;=2,$E$15,$D$15))</f>
        <v>0.6</v>
      </c>
      <c r="G29" s="68">
        <f>STRScenarioTable[[#This Row],[Base Annual Gross Rent]]/2</f>
        <v>72000</v>
      </c>
      <c r="H29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9" s="70">
        <f>IF(STRScenarioTable[[#This Row],[Year]]&gt;=3,$F$16,IF(STRScenarioTable[[#This Row],[Year]]&gt;=2,$E$16,$D$16))</f>
        <v>7500</v>
      </c>
      <c r="J29" s="71">
        <f>IF(STRScenarioTable[[#This Row],[Year]]&gt;=3,$F$17,IF(STRScenarioTable[[#This Row],[Year]]&gt;=2,$E$17,$D$17))</f>
        <v>0.55000000000000004</v>
      </c>
      <c r="K29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9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0" spans="1:15" x14ac:dyDescent="0.25">
      <c r="A30" s="2">
        <v>6</v>
      </c>
      <c r="B30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0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0" s="9">
        <f>STRScenarioTable[[#This Row],[Base Monthly Gross Rent]]*12</f>
        <v>144000</v>
      </c>
      <c r="E30" s="68">
        <f>IF(STRScenarioTable[[#This Row],[Year]]&gt;=3,$F$14,IF(STRScenarioTable[[#This Row],[Year]]&gt;=2,$E$14,$D$14))</f>
        <v>4000</v>
      </c>
      <c r="F30" s="69">
        <f>IF(STRScenarioTable[[#This Row],[Year]]&gt;=3,$F$15,IF(STRScenarioTable[[#This Row],[Year]]&gt;=2,$E$15,$D$15))</f>
        <v>0.6</v>
      </c>
      <c r="G30" s="68">
        <f>STRScenarioTable[[#This Row],[Base Annual Gross Rent]]/2</f>
        <v>72000</v>
      </c>
      <c r="H30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0" s="70">
        <f>IF(STRScenarioTable[[#This Row],[Year]]&gt;=3,$F$16,IF(STRScenarioTable[[#This Row],[Year]]&gt;=2,$E$16,$D$16))</f>
        <v>7500</v>
      </c>
      <c r="J30" s="71">
        <f>IF(STRScenarioTable[[#This Row],[Year]]&gt;=3,$F$17,IF(STRScenarioTable[[#This Row],[Year]]&gt;=2,$E$17,$D$17))</f>
        <v>0.55000000000000004</v>
      </c>
      <c r="K30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0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1" spans="1:15" x14ac:dyDescent="0.25">
      <c r="A31" s="2">
        <v>7</v>
      </c>
      <c r="B31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1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1" s="9">
        <f>STRScenarioTable[[#This Row],[Base Monthly Gross Rent]]*12</f>
        <v>144000</v>
      </c>
      <c r="E31" s="68">
        <f>IF(STRScenarioTable[[#This Row],[Year]]&gt;=3,$F$14,IF(STRScenarioTable[[#This Row],[Year]]&gt;=2,$E$14,$D$14))</f>
        <v>4000</v>
      </c>
      <c r="F31" s="69">
        <f>IF(STRScenarioTable[[#This Row],[Year]]&gt;=3,$F$15,IF(STRScenarioTable[[#This Row],[Year]]&gt;=2,$E$15,$D$15))</f>
        <v>0.6</v>
      </c>
      <c r="G31" s="68">
        <f>STRScenarioTable[[#This Row],[Base Annual Gross Rent]]/2</f>
        <v>72000</v>
      </c>
      <c r="H31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1" s="70">
        <f>IF(STRScenarioTable[[#This Row],[Year]]&gt;=3,$F$16,IF(STRScenarioTable[[#This Row],[Year]]&gt;=2,$E$16,$D$16))</f>
        <v>7500</v>
      </c>
      <c r="J31" s="71">
        <f>IF(STRScenarioTable[[#This Row],[Year]]&gt;=3,$F$17,IF(STRScenarioTable[[#This Row],[Year]]&gt;=2,$E$17,$D$17))</f>
        <v>0.55000000000000004</v>
      </c>
      <c r="K31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1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2" spans="1:15" x14ac:dyDescent="0.25">
      <c r="A32" s="2">
        <v>8</v>
      </c>
      <c r="B32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2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2" s="9">
        <f>STRScenarioTable[[#This Row],[Base Monthly Gross Rent]]*12</f>
        <v>144000</v>
      </c>
      <c r="E32" s="68">
        <f>IF(STRScenarioTable[[#This Row],[Year]]&gt;=3,$F$14,IF(STRScenarioTable[[#This Row],[Year]]&gt;=2,$E$14,$D$14))</f>
        <v>4000</v>
      </c>
      <c r="F32" s="69">
        <f>IF(STRScenarioTable[[#This Row],[Year]]&gt;=3,$F$15,IF(STRScenarioTable[[#This Row],[Year]]&gt;=2,$E$15,$D$15))</f>
        <v>0.6</v>
      </c>
      <c r="G32" s="68">
        <f>STRScenarioTable[[#This Row],[Base Annual Gross Rent]]/2</f>
        <v>72000</v>
      </c>
      <c r="H32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2" s="70">
        <f>IF(STRScenarioTable[[#This Row],[Year]]&gt;=3,$F$16,IF(STRScenarioTable[[#This Row],[Year]]&gt;=2,$E$16,$D$16))</f>
        <v>7500</v>
      </c>
      <c r="J32" s="71">
        <f>IF(STRScenarioTable[[#This Row],[Year]]&gt;=3,$F$17,IF(STRScenarioTable[[#This Row],[Year]]&gt;=2,$E$17,$D$17))</f>
        <v>0.55000000000000004</v>
      </c>
      <c r="K32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2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3" spans="1:12" x14ac:dyDescent="0.25">
      <c r="A33" s="2">
        <v>9</v>
      </c>
      <c r="B33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3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3" s="9">
        <f>STRScenarioTable[[#This Row],[Base Monthly Gross Rent]]*12</f>
        <v>144000</v>
      </c>
      <c r="E33" s="68">
        <f>IF(STRScenarioTable[[#This Row],[Year]]&gt;=3,$F$14,IF(STRScenarioTable[[#This Row],[Year]]&gt;=2,$E$14,$D$14))</f>
        <v>4000</v>
      </c>
      <c r="F33" s="69">
        <f>IF(STRScenarioTable[[#This Row],[Year]]&gt;=3,$F$15,IF(STRScenarioTable[[#This Row],[Year]]&gt;=2,$E$15,$D$15))</f>
        <v>0.6</v>
      </c>
      <c r="G33" s="68">
        <f>STRScenarioTable[[#This Row],[Base Annual Gross Rent]]/2</f>
        <v>72000</v>
      </c>
      <c r="H33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3" s="70">
        <f>IF(STRScenarioTable[[#This Row],[Year]]&gt;=3,$F$16,IF(STRScenarioTable[[#This Row],[Year]]&gt;=2,$E$16,$D$16))</f>
        <v>7500</v>
      </c>
      <c r="J33" s="71">
        <f>IF(STRScenarioTable[[#This Row],[Year]]&gt;=3,$F$17,IF(STRScenarioTable[[#This Row],[Year]]&gt;=2,$E$17,$D$17))</f>
        <v>0.55000000000000004</v>
      </c>
      <c r="K33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3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4" spans="1:12" x14ac:dyDescent="0.25">
      <c r="A34" s="2">
        <v>10</v>
      </c>
      <c r="B34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4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4" s="9">
        <f>STRScenarioTable[[#This Row],[Base Monthly Gross Rent]]*12</f>
        <v>144000</v>
      </c>
      <c r="E34" s="68">
        <f>IF(STRScenarioTable[[#This Row],[Year]]&gt;=3,$F$14,IF(STRScenarioTable[[#This Row],[Year]]&gt;=2,$E$14,$D$14))</f>
        <v>4000</v>
      </c>
      <c r="F34" s="69">
        <f>IF(STRScenarioTable[[#This Row],[Year]]&gt;=3,$F$15,IF(STRScenarioTable[[#This Row],[Year]]&gt;=2,$E$15,$D$15))</f>
        <v>0.6</v>
      </c>
      <c r="G34" s="68">
        <f>STRScenarioTable[[#This Row],[Base Annual Gross Rent]]/2</f>
        <v>72000</v>
      </c>
      <c r="H34" s="68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4" s="70">
        <f>IF(STRScenarioTable[[#This Row],[Year]]&gt;=3,$F$16,IF(STRScenarioTable[[#This Row],[Year]]&gt;=2,$E$16,$D$16))</f>
        <v>7500</v>
      </c>
      <c r="J34" s="71">
        <f>IF(STRScenarioTable[[#This Row],[Year]]&gt;=3,$F$17,IF(STRScenarioTable[[#This Row],[Year]]&gt;=2,$E$17,$D$17))</f>
        <v>0.55000000000000004</v>
      </c>
      <c r="K34" s="70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4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</sheetData>
  <mergeCells count="19">
    <mergeCell ref="A12:C12"/>
    <mergeCell ref="A23:C23"/>
    <mergeCell ref="A19:C19"/>
    <mergeCell ref="A18:C18"/>
    <mergeCell ref="A14:C14"/>
    <mergeCell ref="A15:C15"/>
    <mergeCell ref="A16:C16"/>
    <mergeCell ref="A17:C17"/>
    <mergeCell ref="A1:D1"/>
    <mergeCell ref="B6:D6"/>
    <mergeCell ref="B7:D7"/>
    <mergeCell ref="B8:D8"/>
    <mergeCell ref="B9:D9"/>
    <mergeCell ref="B2:D2"/>
    <mergeCell ref="D4:F4"/>
    <mergeCell ref="E8:J8"/>
    <mergeCell ref="E6:J6"/>
    <mergeCell ref="E7:J7"/>
    <mergeCell ref="E9:J9"/>
  </mergeCell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6" r:id="rId4" name="OperatingScenarioGroup">
              <controlPr defaultSize="0" autoPict="0">
                <anchor moveWithCells="1">
                  <from>
                    <xdr:col>0</xdr:col>
                    <xdr:colOff>9525</xdr:colOff>
                    <xdr:row>6</xdr:row>
                    <xdr:rowOff>9525</xdr:rowOff>
                  </from>
                  <to>
                    <xdr:col>0</xdr:col>
                    <xdr:colOff>361950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5" name="OperatingScenarioOption_1">
              <controlPr defaultSize="0" autoFill="0" autoLine="0" autoPict="0">
                <anchor moveWithCells="1">
                  <from>
                    <xdr:col>0</xdr:col>
                    <xdr:colOff>85725</xdr:colOff>
                    <xdr:row>6</xdr:row>
                    <xdr:rowOff>38100</xdr:rowOff>
                  </from>
                  <to>
                    <xdr:col>0</xdr:col>
                    <xdr:colOff>381000</xdr:colOff>
                    <xdr:row>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6" name="OperatingScenarioOption_2">
              <controlPr defaultSize="0" autoFill="0" autoLine="0" autoPict="0">
                <anchor moveWithCells="1">
                  <from>
                    <xdr:col>0</xdr:col>
                    <xdr:colOff>85725</xdr:colOff>
                    <xdr:row>7</xdr:row>
                    <xdr:rowOff>28575</xdr:rowOff>
                  </from>
                  <to>
                    <xdr:col>0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7" name="OperatingScenarioOption_3">
              <controlPr defaultSize="0" autoFill="0" autoLine="0" autoPict="0">
                <anchor moveWithCells="1">
                  <from>
                    <xdr:col>0</xdr:col>
                    <xdr:colOff>85725</xdr:colOff>
                    <xdr:row>8</xdr:row>
                    <xdr:rowOff>28575</xdr:rowOff>
                  </from>
                  <to>
                    <xdr:col>0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</controls>
    </mc:Choice>
  </mc:AlternateContent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opLeftCell="A12" workbookViewId="0">
      <selection activeCell="A46" sqref="A46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3" ht="18.75" x14ac:dyDescent="0.3">
      <c r="A1" s="20" t="s">
        <v>0</v>
      </c>
      <c r="B1" s="13"/>
      <c r="C1" s="18" t="s">
        <v>1</v>
      </c>
    </row>
    <row r="2" spans="1:13" x14ac:dyDescent="0.25">
      <c r="A2" s="13"/>
      <c r="B2" s="13"/>
      <c r="C2" s="13"/>
    </row>
    <row r="3" spans="1:13" x14ac:dyDescent="0.25">
      <c r="A3" s="21" t="s">
        <v>2</v>
      </c>
      <c r="B3" s="13"/>
      <c r="C3" s="13"/>
      <c r="L3" s="64" t="s">
        <v>365</v>
      </c>
      <c r="M3" s="65"/>
    </row>
    <row r="4" spans="1:13" x14ac:dyDescent="0.25">
      <c r="A4" s="13" t="s">
        <v>3</v>
      </c>
      <c r="B4" s="15">
        <f>MAX(1,MIN(10,SelectedWaterfallRefiOption))</f>
        <v>3</v>
      </c>
      <c r="C4" s="18" t="s">
        <v>319</v>
      </c>
      <c r="L4" s="65" t="s">
        <v>331</v>
      </c>
      <c r="M4" s="65" t="str">
        <f>SelectedOperatingScenario</f>
        <v>Whole Building STR</v>
      </c>
    </row>
    <row r="5" spans="1:13" x14ac:dyDescent="0.25">
      <c r="A5" s="13" t="s">
        <v>4</v>
      </c>
      <c r="B5" s="15">
        <f>MAX(1,MIN(10,SelectedWaterfallExitOption))</f>
        <v>5</v>
      </c>
      <c r="C5" s="18" t="s">
        <v>320</v>
      </c>
      <c r="L5" s="65" t="s">
        <v>366</v>
      </c>
      <c r="M5" s="65"/>
    </row>
    <row r="6" spans="1:13" x14ac:dyDescent="0.25">
      <c r="A6" s="13"/>
      <c r="B6" s="13"/>
      <c r="C6" s="13"/>
    </row>
    <row r="7" spans="1:13" x14ac:dyDescent="0.25">
      <c r="A7" s="21" t="s">
        <v>5</v>
      </c>
      <c r="B7" s="13"/>
      <c r="C7" s="13"/>
      <c r="D7" s="99" t="s">
        <v>281</v>
      </c>
      <c r="E7" s="99"/>
      <c r="F7" s="99"/>
      <c r="G7" s="99"/>
      <c r="H7" s="99"/>
      <c r="I7" s="99"/>
      <c r="J7" s="99"/>
    </row>
    <row r="8" spans="1:13" x14ac:dyDescent="0.25">
      <c r="A8" s="13" t="s">
        <v>6</v>
      </c>
      <c r="B8" s="15">
        <v>4</v>
      </c>
      <c r="C8" s="18" t="s">
        <v>7</v>
      </c>
      <c r="D8" s="38" t="s">
        <v>289</v>
      </c>
      <c r="E8" s="38" t="s">
        <v>108</v>
      </c>
      <c r="F8" s="38" t="s">
        <v>285</v>
      </c>
      <c r="G8" s="38" t="s">
        <v>121</v>
      </c>
      <c r="H8" s="38" t="s">
        <v>290</v>
      </c>
      <c r="I8" s="38" t="s">
        <v>291</v>
      </c>
      <c r="J8" s="38" t="s">
        <v>292</v>
      </c>
    </row>
    <row r="9" spans="1:13" x14ac:dyDescent="0.25">
      <c r="A9" s="13" t="s">
        <v>8</v>
      </c>
      <c r="B9" s="13">
        <v>1600</v>
      </c>
      <c r="C9" s="18" t="s">
        <v>286</v>
      </c>
      <c r="D9" s="39" t="s">
        <v>282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293</v>
      </c>
      <c r="J9" s="39"/>
    </row>
    <row r="10" spans="1:13" x14ac:dyDescent="0.25">
      <c r="A10" s="13" t="s">
        <v>9</v>
      </c>
      <c r="B10" s="15">
        <v>4</v>
      </c>
      <c r="C10" s="18" t="s">
        <v>10</v>
      </c>
      <c r="D10" s="39" t="s">
        <v>283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293</v>
      </c>
      <c r="J10" s="39"/>
    </row>
    <row r="11" spans="1:13" x14ac:dyDescent="0.25">
      <c r="A11" s="13" t="s">
        <v>11</v>
      </c>
      <c r="B11" s="13">
        <v>1100</v>
      </c>
      <c r="C11" s="18" t="s">
        <v>286</v>
      </c>
      <c r="D11" s="39" t="s">
        <v>284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312</v>
      </c>
      <c r="J11" s="39"/>
    </row>
    <row r="12" spans="1:13" x14ac:dyDescent="0.25">
      <c r="A12" s="13" t="s">
        <v>12</v>
      </c>
      <c r="B12" s="13">
        <v>0</v>
      </c>
      <c r="C12" s="18" t="s">
        <v>13</v>
      </c>
      <c r="D12" s="39" t="s">
        <v>287</v>
      </c>
      <c r="E12" s="40">
        <v>1</v>
      </c>
      <c r="F12" s="40">
        <v>2</v>
      </c>
      <c r="G12" s="40">
        <v>3</v>
      </c>
      <c r="H12" s="40"/>
      <c r="I12" s="39" t="s">
        <v>294</v>
      </c>
      <c r="J12" s="39" t="s">
        <v>295</v>
      </c>
    </row>
    <row r="13" spans="1:13" x14ac:dyDescent="0.25">
      <c r="A13" s="13" t="s">
        <v>14</v>
      </c>
      <c r="B13" s="22">
        <v>0.93</v>
      </c>
      <c r="C13" s="18" t="s">
        <v>15</v>
      </c>
    </row>
    <row r="14" spans="1:13" x14ac:dyDescent="0.25">
      <c r="A14" s="13" t="s">
        <v>16</v>
      </c>
      <c r="B14" s="22">
        <v>0.5</v>
      </c>
      <c r="C14" s="18" t="s">
        <v>17</v>
      </c>
    </row>
    <row r="15" spans="1:13" x14ac:dyDescent="0.25">
      <c r="A15" s="13" t="s">
        <v>18</v>
      </c>
      <c r="B15" s="22">
        <f>SelectedOperatingExpenseRatio</f>
        <v>0.46912485065710868</v>
      </c>
      <c r="C15" s="18" t="s">
        <v>19</v>
      </c>
    </row>
    <row r="16" spans="1:13" x14ac:dyDescent="0.25">
      <c r="A16" s="13" t="s">
        <v>20</v>
      </c>
      <c r="B16" s="22">
        <v>0.03</v>
      </c>
      <c r="C16" s="18" t="s">
        <v>21</v>
      </c>
    </row>
    <row r="17" spans="1:3" x14ac:dyDescent="0.25">
      <c r="A17" s="13" t="s">
        <v>296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311</v>
      </c>
    </row>
    <row r="18" spans="1:3" x14ac:dyDescent="0.25">
      <c r="A18" s="13"/>
      <c r="B18" s="13"/>
      <c r="C18" s="13"/>
    </row>
    <row r="19" spans="1:3" x14ac:dyDescent="0.25">
      <c r="A19" s="21" t="s">
        <v>22</v>
      </c>
      <c r="B19" s="13"/>
      <c r="C19" s="13"/>
    </row>
    <row r="20" spans="1:3" x14ac:dyDescent="0.25">
      <c r="A20" s="13" t="s">
        <v>243</v>
      </c>
      <c r="B20" s="13">
        <v>119000</v>
      </c>
      <c r="C20" s="18" t="s">
        <v>244</v>
      </c>
    </row>
    <row r="21" spans="1:3" x14ac:dyDescent="0.25">
      <c r="A21" s="13" t="s">
        <v>245</v>
      </c>
      <c r="B21" s="24">
        <v>3.2500000000000001E-2</v>
      </c>
      <c r="C21" s="18" t="s">
        <v>246</v>
      </c>
    </row>
    <row r="22" spans="1:3" x14ac:dyDescent="0.25">
      <c r="A22" s="13" t="s">
        <v>23</v>
      </c>
      <c r="B22" s="13">
        <v>75000</v>
      </c>
      <c r="C22" s="18" t="s">
        <v>24</v>
      </c>
    </row>
    <row r="23" spans="1:3" x14ac:dyDescent="0.25">
      <c r="A23" s="13" t="s">
        <v>25</v>
      </c>
      <c r="B23" s="24">
        <v>0.1</v>
      </c>
      <c r="C23" s="18" t="s">
        <v>26</v>
      </c>
    </row>
    <row r="24" spans="1:3" x14ac:dyDescent="0.25">
      <c r="A24" s="13" t="s">
        <v>27</v>
      </c>
      <c r="B24" s="13">
        <f>_xlfn.SINGLE(ExistingFirstMortgagePrincipal)+PrivateDebtPrincipal</f>
        <v>194000</v>
      </c>
      <c r="C24" s="18" t="s">
        <v>247</v>
      </c>
    </row>
    <row r="25" spans="1:3" x14ac:dyDescent="0.25">
      <c r="A25" s="13" t="s">
        <v>252</v>
      </c>
      <c r="B25" s="13">
        <v>526</v>
      </c>
      <c r="C25" s="18" t="s">
        <v>253</v>
      </c>
    </row>
    <row r="26" spans="1:3" x14ac:dyDescent="0.25">
      <c r="A26" s="13" t="s">
        <v>254</v>
      </c>
      <c r="B26" s="13">
        <f>_xlfn.SINGLE(ExistingFirstMortgageMonthlyPI)*12</f>
        <v>6312</v>
      </c>
      <c r="C26" s="18" t="s">
        <v>255</v>
      </c>
    </row>
    <row r="27" spans="1:3" x14ac:dyDescent="0.25">
      <c r="A27" s="13" t="s">
        <v>248</v>
      </c>
      <c r="B27" s="13">
        <f>PrivateDebtPrincipal*PrivateDebtInterestRate</f>
        <v>7500</v>
      </c>
      <c r="C27" s="18" t="s">
        <v>249</v>
      </c>
    </row>
    <row r="28" spans="1:3" x14ac:dyDescent="0.25">
      <c r="A28" s="13" t="s">
        <v>250</v>
      </c>
      <c r="B28" s="7">
        <f>ExistingFirstMortgageAnnualPayment+PrivateDebtAnnualInterestPayment</f>
        <v>13812</v>
      </c>
      <c r="C28" s="18" t="s">
        <v>251</v>
      </c>
    </row>
    <row r="29" spans="1:3" x14ac:dyDescent="0.25">
      <c r="A29" s="13" t="s">
        <v>259</v>
      </c>
      <c r="B29" s="24">
        <v>0.7</v>
      </c>
      <c r="C29" s="18" t="s">
        <v>260</v>
      </c>
    </row>
    <row r="30" spans="1:3" x14ac:dyDescent="0.25">
      <c r="A30" s="13" t="s">
        <v>28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29</v>
      </c>
    </row>
    <row r="31" spans="1:3" x14ac:dyDescent="0.25">
      <c r="A31" s="13" t="s">
        <v>30</v>
      </c>
      <c r="B31" s="13">
        <f>MAX(0,RefinanceLoanAmount-TotalExistingDebt)</f>
        <v>538276.44000000006</v>
      </c>
      <c r="C31" s="18" t="s">
        <v>31</v>
      </c>
    </row>
    <row r="32" spans="1:3" x14ac:dyDescent="0.25">
      <c r="A32" s="13" t="s">
        <v>32</v>
      </c>
      <c r="B32" s="13">
        <f>MAX(0,RefinanceLoanAmount-TotalExistingDebt-ClassACapital)</f>
        <v>238276.44000000006</v>
      </c>
      <c r="C32" s="18" t="s">
        <v>33</v>
      </c>
    </row>
    <row r="33" spans="1:3" x14ac:dyDescent="0.25">
      <c r="A33" s="13" t="s">
        <v>34</v>
      </c>
      <c r="B33" s="24">
        <v>6.5000000000000002E-2</v>
      </c>
      <c r="C33" s="18" t="s">
        <v>35</v>
      </c>
    </row>
    <row r="34" spans="1:3" x14ac:dyDescent="0.25">
      <c r="A34" s="13" t="s">
        <v>36</v>
      </c>
      <c r="B34" s="15">
        <v>30</v>
      </c>
      <c r="C34" s="18" t="s">
        <v>37</v>
      </c>
    </row>
    <row r="35" spans="1:3" x14ac:dyDescent="0.25">
      <c r="A35" s="13" t="s">
        <v>38</v>
      </c>
      <c r="B35" s="24">
        <v>7.0000000000000007E-2</v>
      </c>
      <c r="C35" s="18" t="s">
        <v>39</v>
      </c>
    </row>
    <row r="36" spans="1:3" x14ac:dyDescent="0.25">
      <c r="A36" s="13" t="s">
        <v>40</v>
      </c>
      <c r="B36" s="24">
        <v>0.02</v>
      </c>
      <c r="C36" s="13" t="s">
        <v>41</v>
      </c>
    </row>
    <row r="37" spans="1:3" x14ac:dyDescent="0.25">
      <c r="A37" s="21"/>
      <c r="B37" s="13"/>
      <c r="C37" s="13"/>
    </row>
    <row r="38" spans="1:3" x14ac:dyDescent="0.25">
      <c r="A38" s="13" t="s">
        <v>42</v>
      </c>
      <c r="B38" s="13"/>
      <c r="C38" s="18"/>
    </row>
    <row r="39" spans="1:3" x14ac:dyDescent="0.25">
      <c r="A39" s="13" t="s">
        <v>43</v>
      </c>
      <c r="B39" s="13">
        <v>300000</v>
      </c>
      <c r="C39" s="18" t="s">
        <v>44</v>
      </c>
    </row>
    <row r="40" spans="1:3" x14ac:dyDescent="0.25">
      <c r="A40" s="13" t="s">
        <v>45</v>
      </c>
      <c r="B40" s="24">
        <v>0.08</v>
      </c>
      <c r="C40" s="18" t="s">
        <v>46</v>
      </c>
    </row>
    <row r="41" spans="1:3" x14ac:dyDescent="0.25">
      <c r="A41" s="13" t="s">
        <v>47</v>
      </c>
      <c r="B41" s="13">
        <f>MAX(0,SelectedProjectCost-ClassACapital)</f>
        <v>547500</v>
      </c>
      <c r="C41" s="18" t="s">
        <v>261</v>
      </c>
    </row>
    <row r="42" spans="1:3" x14ac:dyDescent="0.25">
      <c r="A42" s="13" t="s">
        <v>48</v>
      </c>
      <c r="B42" s="13">
        <v>1</v>
      </c>
      <c r="C42" s="18" t="s">
        <v>49</v>
      </c>
    </row>
    <row r="43" spans="1:3" x14ac:dyDescent="0.25">
      <c r="A43" s="13" t="s">
        <v>51</v>
      </c>
      <c r="B43" s="30">
        <v>0.5</v>
      </c>
      <c r="C43" s="18" t="s">
        <v>263</v>
      </c>
    </row>
    <row r="44" spans="1:3" x14ac:dyDescent="0.25">
      <c r="A44" s="13" t="s">
        <v>262</v>
      </c>
      <c r="B44" s="30">
        <f>(1-SponsorResidualShare)*(ClassACapital/(ClassACapital+ClassBCapital))</f>
        <v>0.17699115044247787</v>
      </c>
      <c r="C44" s="18" t="s">
        <v>264</v>
      </c>
    </row>
    <row r="45" spans="1:3" x14ac:dyDescent="0.25">
      <c r="A45" s="13" t="s">
        <v>50</v>
      </c>
      <c r="B45" s="30">
        <f>(1-SponsorResidualShare)*(ClassBCapital/(ClassACapital+ClassBCapital))</f>
        <v>0.32300884955752213</v>
      </c>
      <c r="C45" s="18" t="s">
        <v>265</v>
      </c>
    </row>
    <row r="46" spans="1:3" x14ac:dyDescent="0.25">
      <c r="A46" s="13" t="s">
        <v>271</v>
      </c>
      <c r="B46" s="13">
        <v>100000</v>
      </c>
      <c r="C46" s="13" t="s">
        <v>272</v>
      </c>
    </row>
    <row r="47" spans="1:3" x14ac:dyDescent="0.25">
      <c r="A47" s="13" t="s">
        <v>303</v>
      </c>
      <c r="B47" s="13">
        <v>136283</v>
      </c>
      <c r="C47" s="13" t="s">
        <v>304</v>
      </c>
    </row>
    <row r="48" spans="1:3" x14ac:dyDescent="0.25">
      <c r="A48" s="13" t="s">
        <v>52</v>
      </c>
      <c r="B48" s="97" t="s">
        <v>53</v>
      </c>
      <c r="C48" s="98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A3" workbookViewId="0">
      <selection activeCell="M9" sqref="M9"/>
    </sheetView>
  </sheetViews>
  <sheetFormatPr defaultRowHeight="15" x14ac:dyDescent="0.25"/>
  <cols>
    <col min="1" max="1" width="9.5703125" style="6" bestFit="1" customWidth="1"/>
    <col min="2" max="2" width="26" style="6" bestFit="1" customWidth="1"/>
    <col min="3" max="3" width="13.7109375" style="6" bestFit="1" customWidth="1"/>
    <col min="4" max="4" width="17.7109375" style="6" bestFit="1" customWidth="1"/>
    <col min="5" max="5" width="14.42578125" style="6" bestFit="1" customWidth="1"/>
    <col min="6" max="6" width="9" style="6" bestFit="1" customWidth="1"/>
    <col min="7" max="7" width="12" style="6" bestFit="1" customWidth="1"/>
    <col min="8" max="9" width="12.28515625" style="6" customWidth="1"/>
    <col min="10" max="10" width="10.140625" style="6" customWidth="1"/>
    <col min="11" max="11" width="10.85546875" style="6" customWidth="1"/>
    <col min="12" max="12" width="15.7109375" style="6" customWidth="1"/>
    <col min="13" max="13" width="13.85546875" style="6" customWidth="1"/>
    <col min="14" max="14" width="12.5703125" style="6" customWidth="1"/>
    <col min="15" max="15" width="11" style="6" customWidth="1"/>
    <col min="16" max="16" width="13.28515625" style="6" bestFit="1" customWidth="1"/>
    <col min="17" max="16384" width="9.140625" style="6"/>
  </cols>
  <sheetData>
    <row r="1" spans="1:16" ht="18.75" x14ac:dyDescent="0.3">
      <c r="A1" s="100" t="s">
        <v>54</v>
      </c>
      <c r="B1" s="78"/>
      <c r="C1" s="78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s="23" customFormat="1" ht="45" x14ac:dyDescent="0.25">
      <c r="A3" s="25" t="s">
        <v>55</v>
      </c>
      <c r="B3" s="25" t="s">
        <v>56</v>
      </c>
      <c r="C3" s="25" t="s">
        <v>57</v>
      </c>
      <c r="D3" s="25" t="s">
        <v>309</v>
      </c>
      <c r="E3" s="25" t="s">
        <v>58</v>
      </c>
      <c r="F3" s="25" t="s">
        <v>59</v>
      </c>
      <c r="G3" s="25" t="s">
        <v>60</v>
      </c>
      <c r="H3" s="25" t="s">
        <v>310</v>
      </c>
      <c r="I3" s="25" t="s">
        <v>268</v>
      </c>
      <c r="J3" s="25" t="s">
        <v>315</v>
      </c>
      <c r="K3" s="25" t="s">
        <v>316</v>
      </c>
      <c r="L3" s="25" t="s">
        <v>256</v>
      </c>
      <c r="M3" s="25" t="s">
        <v>257</v>
      </c>
      <c r="N3" s="25" t="s">
        <v>258</v>
      </c>
      <c r="O3" s="25" t="s">
        <v>61</v>
      </c>
      <c r="P3" s="25" t="s">
        <v>62</v>
      </c>
    </row>
    <row r="4" spans="1:16" x14ac:dyDescent="0.25">
      <c r="A4" s="13">
        <v>0</v>
      </c>
      <c r="B4" s="13" t="s">
        <v>63</v>
      </c>
      <c r="C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100000</v>
      </c>
      <c r="J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100000</v>
      </c>
      <c r="M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100000</v>
      </c>
      <c r="N4" s="13">
        <f>IF(AnnualModelTable[[#This Row],[Year]]&gt;SaleExitYear,0,MAX(0,AnnualModelTable[[#This Row],[Cash Available Before Distributions]]-AnnualModelTable[[#This Row],[Waterfall Distributions]]))</f>
        <v>0</v>
      </c>
      <c r="O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4" s="13">
        <f>IF(AnnualModelTable[[#This Row],[Year]]&gt;SaleExitYear,0,IF(AnnualModelTable[[#This Row],[Year]]&lt;StabilizationRefiYear,0,AnnualModelTable[[#This Row],[NOI]]*(1+NOIGrowth)/ExitCapRate))</f>
        <v>0</v>
      </c>
    </row>
    <row r="5" spans="1:16" x14ac:dyDescent="0.25">
      <c r="A5" s="13">
        <v>1</v>
      </c>
      <c r="B5" s="13" t="s">
        <v>64</v>
      </c>
      <c r="C5" s="13">
        <f>IF(AnnualModelTable[[#This Row],[Year]]&gt;SaleExitYear,0,IF(AnnualModelTable[[#This Row],[Year]]=0,0,INDEX(STRScenarioTable[Selected Annual Gross Rent],MATCH(AnnualModelTable[[#This Row],[Year]],STRScenarioTable[Year],0))))</f>
        <v>70798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35399</v>
      </c>
      <c r="E5" s="13">
        <f>IF(AnnualModelTable[[#This Row],[Year]]&gt;SaleExitYear,0,AnnualModelTable[[#This Row],[Occupancy Effective Gross Income]]*OperatingExpenseRatio)</f>
        <v>16606.550588410992</v>
      </c>
      <c r="F5" s="13">
        <f>IF(AnnualModelTable[[#This Row],[Year]]&gt;SaleExitYear,0,AnnualModelTable[[#This Row],[Occupancy Effective Gross Income]]-AnnualModelTable[[#This Row],[Operating Expenses]])</f>
        <v>18792.449411589008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4980.4494115890084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4980.4494115890084</v>
      </c>
      <c r="K5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4980.4494115890084</v>
      </c>
      <c r="L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5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5" s="13">
        <f>IF(AnnualModelTable[[#This Row],[Year]]&gt;SaleExitYear,0,MAX(0,AnnualModelTable[[#This Row],[Cash Available Before Distributions]]-AnnualModelTable[[#This Row],[Waterfall Distributions]]))</f>
        <v>0</v>
      </c>
      <c r="O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5" s="13">
        <f>IF(AnnualModelTable[[#This Row],[Year]]&gt;SaleExitYear,0,IF(AnnualModelTable[[#This Row],[Year]]&lt;StabilizationRefiYear,0,AnnualModelTable[[#This Row],[NOI]]*(1+NOIGrowth)/ExitCapRate))</f>
        <v>0</v>
      </c>
    </row>
    <row r="6" spans="1:16" x14ac:dyDescent="0.25">
      <c r="A6" s="13">
        <v>2</v>
      </c>
      <c r="B6" s="13" t="s">
        <v>65</v>
      </c>
      <c r="C6" s="13">
        <f>IF(AnnualModelTable[[#This Row],[Year]]&gt;SaleExitYear,0,IF(AnnualModelTable[[#This Row],[Year]]=0,0,INDEX(STRScenarioTable[Selected Annual Gross Rent],MATCH(AnnualModelTable[[#This Row],[Year]],STRScenarioTable[Year],0))))</f>
        <v>120744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112291.92000000001</v>
      </c>
      <c r="E6" s="13">
        <f>IF(AnnualModelTable[[#This Row],[Year]]&gt;SaleExitYear,0,AnnualModelTable[[#This Row],[Occupancy Effective Gross Income]]*OperatingExpenseRatio)</f>
        <v>52678.930200000003</v>
      </c>
      <c r="F6" s="13">
        <f>IF(AnnualModelTable[[#This Row],[Year]]&gt;SaleExitYear,0,AnnualModelTable[[#This Row],[Occupancy Effective Gross Income]]-AnnualModelTable[[#This Row],[Operating Expenses]])</f>
        <v>59612.98980000001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45800.98980000001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4019.5505884109916</v>
      </c>
      <c r="K6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41781.439211589022</v>
      </c>
      <c r="M6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41781.439211589022</v>
      </c>
      <c r="N6" s="13">
        <f>IF(AnnualModelTable[[#This Row],[Year]]&gt;SaleExitYear,0,MAX(0,AnnualModelTable[[#This Row],[Cash Available Before Distributions]]-AnnualModelTable[[#This Row],[Waterfall Distributions]]))</f>
        <v>0</v>
      </c>
      <c r="O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6" s="13">
        <f>IF(AnnualModelTable[[#This Row],[Year]]&gt;SaleExitYear,0,IF(AnnualModelTable[[#This Row],[Year]]&lt;StabilizationRefiYear,0,AnnualModelTable[[#This Row],[NOI]]*(1+NOIGrowth)/ExitCapRate))</f>
        <v>0</v>
      </c>
    </row>
    <row r="7" spans="1:16" x14ac:dyDescent="0.25">
      <c r="A7" s="13">
        <v>3</v>
      </c>
      <c r="B7" s="13" t="s">
        <v>66</v>
      </c>
      <c r="C7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7" s="13">
        <f>IF(AnnualModelTable[[#This Row],[Year]]&gt;SaleExitYear,0,AnnualModelTable[[#This Row],[Occupancy Effective Gross Income]]*OperatingExpenseRatio)</f>
        <v>79857.809777777788</v>
      </c>
      <c r="F7" s="13">
        <f>IF(AnnualModelTable[[#This Row],[Year]]&gt;SaleExitYear,0,AnnualModelTable[[#This Row],[Occupancy Effective Gross Income]]-AnnualModelTable[[#This Row],[Operating Expenses]])</f>
        <v>90369.390222222253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7" s="13">
        <f>IF(AnnualModelTable[[#This Row],[Year]]&gt;SaleExitYear,0,AnnualModelTable[[#This Row],[NOI]]-AnnualModelTable[[#This Row],[Debt Service]])</f>
        <v>34827.567572470594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7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7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573104.0075724707</v>
      </c>
      <c r="M7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573104.0075724707</v>
      </c>
      <c r="N7" s="13">
        <f>IF(AnnualModelTable[[#This Row],[Year]]&gt;SaleExitYear,0,MAX(0,AnnualModelTable[[#This Row],[Cash Available Before Distributions]]-AnnualModelTable[[#This Row],[Waterfall Distributions]]))</f>
        <v>0</v>
      </c>
      <c r="O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732276.44000000006</v>
      </c>
      <c r="P7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8" spans="1:16" x14ac:dyDescent="0.25">
      <c r="A8" s="13">
        <v>4</v>
      </c>
      <c r="B8" s="13" t="s">
        <v>66</v>
      </c>
      <c r="C8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8" s="13">
        <f>IF(AnnualModelTable[[#This Row],[Year]]&gt;SaleExitYear,0,AnnualModelTable[[#This Row],[Occupancy Effective Gross Income]]*OperatingExpenseRatio)</f>
        <v>79857.809777777788</v>
      </c>
      <c r="F8" s="13">
        <f>IF(AnnualModelTable[[#This Row],[Year]]&gt;SaleExitYear,0,AnnualModelTable[[#This Row],[Occupancy Effective Gross Income]]-AnnualModelTable[[#This Row],[Operating Expenses]])</f>
        <v>90369.390222222253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8" s="13">
        <f>IF(AnnualModelTable[[#This Row],[Year]]&gt;SaleExitYear,0,AnnualModelTable[[#This Row],[NOI]]-AnnualModelTable[[#This Row],[Debt Service]])</f>
        <v>34827.567572470594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8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34827.567572470594</v>
      </c>
      <c r="M8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34827.567572470594</v>
      </c>
      <c r="N8" s="13">
        <f>IF(AnnualModelTable[[#This Row],[Year]]&gt;SaleExitYear,0,MAX(0,AnnualModelTable[[#This Row],[Cash Available Before Distributions]]-AnnualModelTable[[#This Row],[Waterfall Distributions]]))</f>
        <v>0</v>
      </c>
      <c r="O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724091.59972692665</v>
      </c>
      <c r="P8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9" spans="1:16" x14ac:dyDescent="0.25">
      <c r="A9" s="13">
        <v>5</v>
      </c>
      <c r="B9" s="13" t="s">
        <v>66</v>
      </c>
      <c r="C9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9" s="13">
        <f>IF(AnnualModelTable[[#This Row],[Year]]&gt;SaleExitYear,0,AnnualModelTable[[#This Row],[Occupancy Effective Gross Income]]*OperatingExpenseRatio)</f>
        <v>79857.809777777788</v>
      </c>
      <c r="F9" s="13">
        <f>IF(AnnualModelTable[[#This Row],[Year]]&gt;SaleExitYear,0,AnnualModelTable[[#This Row],[Occupancy Effective Gross Income]]-AnnualModelTable[[#This Row],[Operating Expenses]])</f>
        <v>90369.390222222253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34827.567572470594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1303126.6070044446</v>
      </c>
      <c r="J9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9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1337954.1745769151</v>
      </c>
      <c r="M9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1337954.1745769151</v>
      </c>
      <c r="N9" s="13">
        <f>IF(AnnualModelTable[[#This Row],[Year]]&gt;SaleExitYear,0,MAX(0,AnnualModelTable[[#This Row],[Cash Available Before Distributions]]-AnnualModelTable[[#This Row],[Waterfall Distributions]]))</f>
        <v>0</v>
      </c>
      <c r="O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9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10" spans="1:16" x14ac:dyDescent="0.25">
      <c r="A10" s="13">
        <v>6</v>
      </c>
      <c r="B10" s="13" t="s">
        <v>66</v>
      </c>
      <c r="C10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Row],[Occupancy Effective Gross Income]]*OperatingExpenseRatio)</f>
        <v>0</v>
      </c>
      <c r="F10" s="13">
        <f>IF(AnnualModelTable[[#This Row],[Year]]&gt;SaleExitYear,0,AnnualModelTable[[#This Row],[Occupancy 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0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0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0" s="13">
        <f>IF(AnnualModelTable[[#This Row],[Year]]&gt;SaleExitYear,0,MAX(0,AnnualModelTable[[#This Row],[Cash Available Before Distributions]]-AnnualModelTable[[#This Row],[Waterfall Distributions]]))</f>
        <v>0</v>
      </c>
      <c r="O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6" x14ac:dyDescent="0.25">
      <c r="A11" s="13">
        <v>7</v>
      </c>
      <c r="B11" s="13" t="s">
        <v>66</v>
      </c>
      <c r="C11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Row],[Occupancy Effective Gross Income]]*OperatingExpenseRatio)</f>
        <v>0</v>
      </c>
      <c r="F11" s="13">
        <f>IF(AnnualModelTable[[#This Row],[Year]]&gt;SaleExitYear,0,AnnualModelTable[[#This Row],[Occupancy 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1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1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1" s="13">
        <f>IF(AnnualModelTable[[#This Row],[Year]]&gt;SaleExitYear,0,MAX(0,AnnualModelTable[[#This Row],[Cash Available Before Distributions]]-AnnualModelTable[[#This Row],[Waterfall Distributions]]))</f>
        <v>0</v>
      </c>
      <c r="O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6" x14ac:dyDescent="0.25">
      <c r="A12" s="13">
        <v>8</v>
      </c>
      <c r="B12" s="13" t="s">
        <v>66</v>
      </c>
      <c r="C12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2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2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2" s="13">
        <f>IF(AnnualModelTable[[#This Row],[Year]]&gt;SaleExitYear,0,MAX(0,AnnualModelTable[[#This Row],[Cash Available Before Distributions]]-AnnualModelTable[[#This Row],[Waterfall Distributions]]))</f>
        <v>0</v>
      </c>
      <c r="O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6" x14ac:dyDescent="0.25">
      <c r="A13" s="13">
        <v>9</v>
      </c>
      <c r="B13" s="13" t="s">
        <v>66</v>
      </c>
      <c r="C13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3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3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3" s="13">
        <f>IF(AnnualModelTable[[#This Row],[Year]]&gt;SaleExitYear,0,MAX(0,AnnualModelTable[[#This Row],[Cash Available Before Distributions]]-AnnualModelTable[[#This Row],[Waterfall Distributions]]))</f>
        <v>0</v>
      </c>
      <c r="O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6" x14ac:dyDescent="0.25">
      <c r="A14" s="13">
        <v>10</v>
      </c>
      <c r="B14" s="13" t="s">
        <v>67</v>
      </c>
      <c r="C1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4" s="13">
        <f>IF(AnnualModelTable[[#This Row],[Year]]&gt;SaleExitYear,0,MAX(0,AnnualModelTable[[#This Row],[Cash Available Before Distributions]]-AnnualModelTable[[#This Row],[Waterfall Distributions]]))</f>
        <v>0</v>
      </c>
      <c r="O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7"/>
  <sheetViews>
    <sheetView tabSelected="1" workbookViewId="0">
      <selection activeCell="W23" sqref="W23"/>
    </sheetView>
  </sheetViews>
  <sheetFormatPr defaultRowHeight="15" x14ac:dyDescent="0.25"/>
  <cols>
    <col min="1" max="1" width="13.140625" style="6" customWidth="1"/>
    <col min="2" max="2" width="12.28515625" style="6" customWidth="1"/>
    <col min="3" max="3" width="8.85546875" style="6" bestFit="1" customWidth="1"/>
    <col min="4" max="4" width="13.140625" style="6" customWidth="1"/>
    <col min="5" max="5" width="9.140625" style="6" customWidth="1"/>
    <col min="6" max="6" width="7.5703125" style="6" bestFit="1" customWidth="1"/>
    <col min="7" max="7" width="9.140625" style="6" customWidth="1"/>
    <col min="8" max="8" width="9.42578125" style="6" customWidth="1"/>
    <col min="9" max="9" width="8.85546875" style="6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9.5703125" style="6" customWidth="1"/>
    <col min="16" max="16" width="10.28515625" style="6" customWidth="1"/>
    <col min="17" max="17" width="8.7109375" style="6" customWidth="1"/>
    <col min="18" max="19" width="12.7109375" style="6" customWidth="1"/>
    <col min="20" max="21" width="9.140625" style="6"/>
    <col min="22" max="22" width="8.7109375" style="6" customWidth="1"/>
    <col min="23" max="23" width="10.140625" style="6" customWidth="1"/>
    <col min="24" max="24" width="14.85546875" style="6" customWidth="1"/>
    <col min="25" max="25" width="13.85546875" style="6" customWidth="1"/>
    <col min="26" max="26" width="13" style="6" customWidth="1"/>
    <col min="27" max="27" width="11.28515625" style="6" customWidth="1"/>
    <col min="28" max="29" width="10.7109375" style="6" customWidth="1"/>
    <col min="30" max="30" width="15" style="6" customWidth="1"/>
    <col min="31" max="31" width="13" style="6" customWidth="1"/>
    <col min="32" max="16384" width="9.140625" style="6"/>
  </cols>
  <sheetData>
    <row r="1" spans="1:31" ht="18.75" x14ac:dyDescent="0.3">
      <c r="A1" s="100" t="s">
        <v>68</v>
      </c>
      <c r="B1" s="78"/>
      <c r="C1" s="78"/>
      <c r="D1" s="13"/>
      <c r="E1" s="13"/>
      <c r="F1" s="13"/>
      <c r="G1" s="13"/>
      <c r="H1" s="13"/>
      <c r="I1" s="13"/>
      <c r="J1" s="13"/>
      <c r="R1" s="13"/>
      <c r="S1" s="13"/>
    </row>
    <row r="2" spans="1:31" ht="15.75" thickBot="1" x14ac:dyDescent="0.3">
      <c r="A2" s="13"/>
      <c r="B2" s="13"/>
      <c r="C2" s="104" t="s">
        <v>267</v>
      </c>
      <c r="D2" s="102"/>
      <c r="E2" s="102"/>
      <c r="F2" s="102"/>
      <c r="G2" s="102"/>
      <c r="H2" s="102"/>
      <c r="I2" s="102"/>
      <c r="J2" s="101" t="s">
        <v>89</v>
      </c>
      <c r="K2" s="102"/>
      <c r="L2" s="102"/>
      <c r="M2" s="102"/>
      <c r="N2" s="103" t="s">
        <v>90</v>
      </c>
      <c r="O2" s="102"/>
      <c r="P2" s="102"/>
      <c r="R2" s="12" t="s">
        <v>317</v>
      </c>
      <c r="S2" s="12" t="s">
        <v>318</v>
      </c>
    </row>
    <row r="3" spans="1:31" s="23" customFormat="1" ht="15.75" customHeight="1" thickBot="1" x14ac:dyDescent="0.3">
      <c r="A3" s="27" t="s">
        <v>55</v>
      </c>
      <c r="B3" s="27" t="s">
        <v>69</v>
      </c>
      <c r="C3" s="28" t="s">
        <v>301</v>
      </c>
      <c r="D3" s="28" t="s">
        <v>300</v>
      </c>
      <c r="E3" s="28" t="s">
        <v>302</v>
      </c>
      <c r="F3" s="28" t="s">
        <v>328</v>
      </c>
      <c r="G3" s="28" t="s">
        <v>327</v>
      </c>
      <c r="H3" s="28" t="s">
        <v>324</v>
      </c>
      <c r="I3" s="28" t="s">
        <v>325</v>
      </c>
      <c r="J3" s="27" t="s">
        <v>321</v>
      </c>
      <c r="K3" s="27" t="s">
        <v>322</v>
      </c>
      <c r="L3" s="27" t="s">
        <v>323</v>
      </c>
      <c r="M3" s="27" t="s">
        <v>326</v>
      </c>
      <c r="N3" s="29" t="s">
        <v>274</v>
      </c>
      <c r="O3" s="29" t="s">
        <v>275</v>
      </c>
      <c r="P3" s="29" t="s">
        <v>308</v>
      </c>
      <c r="R3" s="61">
        <v>3</v>
      </c>
      <c r="S3" s="61">
        <v>5</v>
      </c>
    </row>
    <row r="4" spans="1:31" ht="15.75" customHeight="1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100000</v>
      </c>
      <c r="C4" s="13">
        <f>IF(WaterfallTable[[#This Row],[Year]]&gt;SaleExitYear,0,WaterfallTable[[#This Row],[Capital Balance A]]*ClassAPreferredReturn)</f>
        <v>24000</v>
      </c>
      <c r="D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24000</v>
      </c>
      <c r="F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4" s="13">
        <f>IF(WaterfallTable[[#This Row],[Year]]&gt;SaleExitYear,0,IF(WaterfallTable[[#This Row],[Year]]=0,0,MIN(WaterfallTable[[#This Row],[Cash Available]],WaterfallTable[[#This Row],[Capital Balance A]])))</f>
        <v>0</v>
      </c>
      <c r="H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4" s="13">
        <f>IF(WaterfallTable[[#This Row],[Year]]&gt;SaleExitYear,0,WaterfallTable[[#This Row],[Pref Paid]]+WaterfallTable[[#This Row],[Capital Returned A]]+WaterfallTable[[#This Row],[Residual A]])</f>
        <v>0</v>
      </c>
      <c r="J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4" s="13">
        <f>IF(WaterfallTable[[#This Row],[Year]]&gt;SaleExitYear,0,WaterfallTable[[#This Row],[Capital Returned B]]+WaterfallTable[[#This Row],[ Residual   B]])</f>
        <v>0</v>
      </c>
      <c r="N4" s="13">
        <f>IF(WaterfallTable[[#This Row],[Year]]&gt;SaleExitYear,0,IF(WaterfallTable[[#This Row],[Year]]=0,SponsorPropertyPayment,0))</f>
        <v>100000</v>
      </c>
      <c r="O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4" s="13">
        <f>IF(WaterfallTable[[#This Row],[Year]]&gt;SaleExitYear,0,WaterfallTable[[#This Row],[Property Payment]]+WaterfallTable[[#This Row],[Residual]])</f>
        <v>100000</v>
      </c>
      <c r="R4" s="14"/>
    </row>
    <row r="5" spans="1:31" ht="15.75" customHeight="1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0</v>
      </c>
      <c r="C5" s="13">
        <f>IF(WaterfallTable[[#This Row],[Year]]&gt;SaleExitYear,0,WaterfallTable[[#This Row],[Capital Balance A]]*ClassAPreferredReturn)</f>
        <v>24000</v>
      </c>
      <c r="D5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5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48000</v>
      </c>
      <c r="F5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5" s="13">
        <f>IF(WaterfallTable[[#This Row],[Year]]&gt;SaleExitYear,0,IF(WaterfallTable[[#This Row],[Year]]=0,0,MIN(WaterfallTable[[#This Row],[Cash Available]],WaterfallTable[[#This Row],[Capital Balance A]])))</f>
        <v>0</v>
      </c>
      <c r="H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5" s="13">
        <f>IF(WaterfallTable[[#This Row],[Year]]&gt;SaleExitYear,0,WaterfallTable[[#This Row],[Pref Paid]]+WaterfallTable[[#This Row],[Capital Returned A]]+WaterfallTable[[#This Row],[Residual A]])</f>
        <v>0</v>
      </c>
      <c r="J5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5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5" s="13">
        <f>IF(WaterfallTable[[#This Row],[Year]]&gt;SaleExitYear,0,WaterfallTable[[#This Row],[Capital Returned B]]+WaterfallTable[[#This Row],[ Residual   B]])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5" s="13">
        <f>IF(WaterfallTable[[#This Row],[Year]]&gt;SaleExitYear,0,WaterfallTable[[#This Row],[Property Payment]]+WaterfallTable[[#This Row],[Residual]])</f>
        <v>0</v>
      </c>
      <c r="R5" s="14"/>
    </row>
    <row r="6" spans="1:31" ht="15.75" customHeight="1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41781.439211589022</v>
      </c>
      <c r="C6" s="13">
        <f>IF(WaterfallTable[[#This Row],[Year]]&gt;SaleExitYear,0,WaterfallTable[[#This Row],[Capital Balance A]]*ClassAPreferredReturn)</f>
        <v>24000</v>
      </c>
      <c r="D6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6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72000</v>
      </c>
      <c r="F6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6" s="13">
        <f>IF(WaterfallTable[[#This Row],[Year]]&gt;SaleExitYear,0,IF(WaterfallTable[[#This Row],[Year]]=0,0,MIN(WaterfallTable[[#This Row],[Cash Available]],WaterfallTable[[#This Row],[Capital Balance A]])))</f>
        <v>41781.439211589022</v>
      </c>
      <c r="H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6" s="13">
        <f>IF(WaterfallTable[[#This Row],[Year]]&gt;SaleExitYear,0,WaterfallTable[[#This Row],[Pref Paid]]+WaterfallTable[[#This Row],[Capital Returned A]]+WaterfallTable[[#This Row],[Residual A]])</f>
        <v>41781.439211589022</v>
      </c>
      <c r="J6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6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6" s="13">
        <f>IF(WaterfallTable[[#This Row],[Year]]&gt;SaleExitYear,0,WaterfallTable[[#This Row],[Capital Returned B]]+WaterfallTable[[#This Row],[ Residual   B]])</f>
        <v>0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6" s="13">
        <f>IF(WaterfallTable[[#This Row],[Year]]&gt;SaleExitYear,0,WaterfallTable[[#This Row],[Property Payment]]+WaterfallTable[[#This Row],[Residual]])</f>
        <v>0</v>
      </c>
      <c r="R6" s="14"/>
    </row>
    <row r="7" spans="1:31" ht="15" customHeight="1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573104.0075724707</v>
      </c>
      <c r="C7" s="13">
        <f>IF(WaterfallTable[[#This Row],[Year]]&gt;SaleExitYear,0,WaterfallTable[[#This Row],[Capital Balance A]]*ClassAPreferredReturn)</f>
        <v>20657.484863072877</v>
      </c>
      <c r="D7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7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F7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258218.56078841098</v>
      </c>
      <c r="G7" s="13">
        <f>IF(WaterfallTable[[#This Row],[Year]]&gt;SaleExitYear,0,IF(WaterfallTable[[#This Row],[Year]]=0,0,MIN(WaterfallTable[[#This Row],[Cash Available]],WaterfallTable[[#This Row],[Capital Balance A]])))</f>
        <v>258218.56078841098</v>
      </c>
      <c r="H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7" s="13">
        <f>IF(WaterfallTable[[#This Row],[Year]]&gt;SaleExitYear,0,WaterfallTable[[#This Row],[Pref Paid]]+WaterfallTable[[#This Row],[Capital Returned A]]+WaterfallTable[[#This Row],[Residual A]])</f>
        <v>258218.56078841098</v>
      </c>
      <c r="J7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7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314885.44678405975</v>
      </c>
      <c r="L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7" s="13">
        <f>IF(WaterfallTable[[#This Row],[Year]]&gt;SaleExitYear,0,WaterfallTable[[#This Row],[Capital Returned B]]+WaterfallTable[[#This Row],[ Residual   B]])</f>
        <v>314885.44678405975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7" s="13">
        <f>IF(WaterfallTable[[#This Row],[Year]]&gt;SaleExitYear,0,WaterfallTable[[#This Row],[Property Payment]]+WaterfallTable[[#This Row],[Residual]])</f>
        <v>0</v>
      </c>
      <c r="R7" s="14"/>
      <c r="V7"/>
      <c r="W7"/>
      <c r="X7"/>
      <c r="Y7"/>
      <c r="Z7"/>
      <c r="AA7"/>
      <c r="AB7"/>
      <c r="AC7"/>
      <c r="AD7"/>
      <c r="AE7"/>
    </row>
    <row r="8" spans="1:31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34827.567572470594</v>
      </c>
      <c r="C8" s="13">
        <f>IF(WaterfallTable[[#This Row],[Year]]&gt;SaleExitYear,0,WaterfallTable[[#This Row],[Capital Balance A]]*ClassAPreferredReturn)</f>
        <v>0</v>
      </c>
      <c r="D8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8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F8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8" s="13">
        <f>IF(WaterfallTable[[#This Row],[Year]]&gt;SaleExitYear,0,IF(WaterfallTable[[#This Row],[Year]]=0,0,MIN(WaterfallTable[[#This Row],[Cash Available]],WaterfallTable[[#This Row],[Capital Balance A]])))</f>
        <v>0</v>
      </c>
      <c r="H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8" s="13">
        <f>IF(WaterfallTable[[#This Row],[Year]]&gt;SaleExitYear,0,WaterfallTable[[#This Row],[Pref Paid]]+WaterfallTable[[#This Row],[Capital Returned A]]+WaterfallTable[[#This Row],[Residual A]])</f>
        <v>0</v>
      </c>
      <c r="J8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232614.55321594025</v>
      </c>
      <c r="K8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34827.567572470594</v>
      </c>
      <c r="L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8" s="13">
        <f>IF(WaterfallTable[[#This Row],[Year]]&gt;SaleExitYear,0,WaterfallTable[[#This Row],[Capital Returned B]]+WaterfallTable[[#This Row],[ Residual   B]])</f>
        <v>34827.567572470594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8" s="13">
        <f>IF(WaterfallTable[[#This Row],[Year]]&gt;SaleExitYear,0,WaterfallTable[[#This Row],[Property Payment]]+WaterfallTable[[#This Row],[Residual]])</f>
        <v>0</v>
      </c>
      <c r="R8" s="14"/>
    </row>
    <row r="9" spans="1:31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1337954.1745769151</v>
      </c>
      <c r="C9" s="13">
        <f>IF(WaterfallTable[[#This Row],[Year]]&gt;SaleExitYear,0,WaterfallTable[[#This Row],[Capital Balance A]]*ClassAPreferredReturn)</f>
        <v>0</v>
      </c>
      <c r="D9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92657.484863072881</v>
      </c>
      <c r="E9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9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9" s="13">
        <f>IF(WaterfallTable[[#This Row],[Year]]&gt;SaleExitYear,0,IF(WaterfallTable[[#This Row],[Year]]=0,0,MIN(WaterfallTable[[#This Row],[Cash Available]],WaterfallTable[[#This Row],[Capital Balance A]])))</f>
        <v>0</v>
      </c>
      <c r="H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185399.94762307478</v>
      </c>
      <c r="I9" s="13">
        <f>IF(WaterfallTable[[#This Row],[Year]]&gt;SaleExitYear,0,WaterfallTable[[#This Row],[Pref Paid]]+WaterfallTable[[#This Row],[Capital Returned A]]+WaterfallTable[[#This Row],[Residual A]])</f>
        <v>278057.43248614768</v>
      </c>
      <c r="J9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197786.98564346967</v>
      </c>
      <c r="K9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197786.98564346967</v>
      </c>
      <c r="L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338354.9044121115</v>
      </c>
      <c r="M9" s="13">
        <f>IF(WaterfallTable[[#This Row],[Year]]&gt;SaleExitYear,0,WaterfallTable[[#This Row],[Capital Returned B]]+WaterfallTable[[#This Row],[ Residual   B]])</f>
        <v>536141.89005558123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523754.85203518625</v>
      </c>
      <c r="P9" s="13">
        <f>IF(WaterfallTable[[#This Row],[Year]]&gt;SaleExitYear,0,WaterfallTable[[#This Row],[Property Payment]]+WaterfallTable[[#This Row],[Residual]])</f>
        <v>523754.85203518625</v>
      </c>
      <c r="R9" s="14"/>
    </row>
    <row r="10" spans="1:31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Row],[Capital Balance A]]*ClassAPreferredReturn)</f>
        <v>0</v>
      </c>
      <c r="D10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0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0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0" s="13">
        <f>IF(WaterfallTable[[#This Row],[Year]]&gt;SaleExitYear,0,IF(WaterfallTable[[#This Row],[Year]]=0,0,MIN(WaterfallTable[[#This Row],[Cash Available]],WaterfallTable[[#This Row],[Capital Balance A]])))</f>
        <v>0</v>
      </c>
      <c r="H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0" s="13">
        <f>IF(WaterfallTable[[#This Row],[Year]]&gt;SaleExitYear,0,WaterfallTable[[#This Row],[Pref Paid]]+WaterfallTable[[#This Row],[Capital Returned A]]+WaterfallTable[[#This Row],[Residual A]])</f>
        <v>0</v>
      </c>
      <c r="J10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0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0" s="13">
        <f>IF(WaterfallTable[[#This Row],[Year]]&gt;SaleExitYear,0,WaterfallTable[[#This Row],[Capital Returned B]]+WaterfallTable[[#This Row],[ Residual   B]])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0" s="13">
        <f>IF(WaterfallTable[[#This Row],[Year]]&gt;SaleExitYear,0,WaterfallTable[[#This Row],[Property Payment]]+WaterfallTable[[#This Row],[Residual]])</f>
        <v>0</v>
      </c>
      <c r="R10" s="14"/>
    </row>
    <row r="11" spans="1:31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Row],[Capital Balance A]]*ClassAPreferredReturn)</f>
        <v>0</v>
      </c>
      <c r="D11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1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1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1" s="13">
        <f>IF(WaterfallTable[[#This Row],[Year]]&gt;SaleExitYear,0,IF(WaterfallTable[[#This Row],[Year]]=0,0,MIN(WaterfallTable[[#This Row],[Cash Available]],WaterfallTable[[#This Row],[Capital Balance A]])))</f>
        <v>0</v>
      </c>
      <c r="H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1" s="13">
        <f>IF(WaterfallTable[[#This Row],[Year]]&gt;SaleExitYear,0,WaterfallTable[[#This Row],[Pref Paid]]+WaterfallTable[[#This Row],[Capital Returned A]]+WaterfallTable[[#This Row],[Residual A]])</f>
        <v>0</v>
      </c>
      <c r="J11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1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1" s="13">
        <f>IF(WaterfallTable[[#This Row],[Year]]&gt;SaleExitYear,0,WaterfallTable[[#This Row],[Capital Returned B]]+WaterfallTable[[#This Row],[ Residual   B]])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1" s="13">
        <f>IF(WaterfallTable[[#This Row],[Year]]&gt;SaleExitYear,0,WaterfallTable[[#This Row],[Property Payment]]+WaterfallTable[[#This Row],[Residual]])</f>
        <v>0</v>
      </c>
      <c r="R11" s="14"/>
    </row>
    <row r="12" spans="1:31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Row],[Capital Balance A]]*ClassAPreferredReturn)</f>
        <v>0</v>
      </c>
      <c r="D12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2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2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2" s="13">
        <f>IF(WaterfallTable[[#This Row],[Year]]&gt;SaleExitYear,0,IF(WaterfallTable[[#This Row],[Year]]=0,0,MIN(WaterfallTable[[#This Row],[Cash Available]],WaterfallTable[[#This Row],[Capital Balance A]])))</f>
        <v>0</v>
      </c>
      <c r="H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2" s="13">
        <f>IF(WaterfallTable[[#This Row],[Year]]&gt;SaleExitYear,0,WaterfallTable[[#This Row],[Pref Paid]]+WaterfallTable[[#This Row],[Capital Returned A]]+WaterfallTable[[#This Row],[Residual A]])</f>
        <v>0</v>
      </c>
      <c r="J12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2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2" s="13">
        <f>IF(WaterfallTable[[#This Row],[Year]]&gt;SaleExitYear,0,WaterfallTable[[#This Row],[Capital Returned B]]+WaterfallTable[[#This Row],[ Residual   B]])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2" s="13">
        <f>IF(WaterfallTable[[#This Row],[Year]]&gt;SaleExitYear,0,WaterfallTable[[#This Row],[Property Payment]]+WaterfallTable[[#This Row],[Residual]])</f>
        <v>0</v>
      </c>
      <c r="R12" s="14"/>
    </row>
    <row r="13" spans="1:31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Row],[Capital Balance A]]*ClassAPreferredReturn)</f>
        <v>0</v>
      </c>
      <c r="D13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3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3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3" s="13">
        <f>IF(WaterfallTable[[#This Row],[Year]]&gt;SaleExitYear,0,IF(WaterfallTable[[#This Row],[Year]]=0,0,MIN(WaterfallTable[[#This Row],[Cash Available]],WaterfallTable[[#This Row],[Capital Balance A]])))</f>
        <v>0</v>
      </c>
      <c r="H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3" s="13">
        <f>IF(WaterfallTable[[#This Row],[Year]]&gt;SaleExitYear,0,WaterfallTable[[#This Row],[Pref Paid]]+WaterfallTable[[#This Row],[Capital Returned A]]+WaterfallTable[[#This Row],[Residual A]])</f>
        <v>0</v>
      </c>
      <c r="J13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3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3" s="13">
        <f>IF(WaterfallTable[[#This Row],[Year]]&gt;SaleExitYear,0,WaterfallTable[[#This Row],[Capital Returned B]]+WaterfallTable[[#This Row],[ Residual   B]])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3" s="13">
        <f>IF(WaterfallTable[[#This Row],[Year]]&gt;SaleExitYear,0,WaterfallTable[[#This Row],[Property Payment]]+WaterfallTable[[#This Row],[Residual]])</f>
        <v>0</v>
      </c>
      <c r="R13" s="14"/>
    </row>
    <row r="14" spans="1:31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Row],[Capital Balance A]]*ClassAPreferredReturn)</f>
        <v>0</v>
      </c>
      <c r="D1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4" s="13">
        <f>IF(WaterfallTable[[#This Row],[Year]]&gt;SaleExitYear,0,IF(WaterfallTable[[#This Row],[Year]]=0,0,MIN(WaterfallTable[[#This Row],[Cash Available]],WaterfallTable[[#This Row],[Capital Balance A]])))</f>
        <v>0</v>
      </c>
      <c r="H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4" s="13">
        <f>IF(WaterfallTable[[#This Row],[Year]]&gt;SaleExitYear,0,WaterfallTable[[#This Row],[Pref Paid]]+WaterfallTable[[#This Row],[Capital Returned A]]+WaterfallTable[[#This Row],[Residual A]])</f>
        <v>0</v>
      </c>
      <c r="J1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4" s="13">
        <f>IF(WaterfallTable[[#This Row],[Year]]&gt;SaleExitYear,0,WaterfallTable[[#This Row],[Capital Returned B]]+WaterfallTable[[#This Row],[ Residual   B]])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4" s="13">
        <f>IF(WaterfallTable[[#This Row],[Year]]&gt;SaleExitYear,0,WaterfallTable[[#This Row],[Property Payment]]+WaterfallTable[[#This Row],[Residual]])</f>
        <v>0</v>
      </c>
      <c r="R14" s="14"/>
    </row>
    <row r="15" spans="1:31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31" ht="15.75" thickBo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5.75" thickBot="1" x14ac:dyDescent="0.3">
      <c r="A17" s="76" t="s">
        <v>373</v>
      </c>
      <c r="B17" s="79" t="s">
        <v>374</v>
      </c>
      <c r="C17" s="80"/>
      <c r="D17" s="81"/>
      <c r="E17" s="79" t="s">
        <v>375</v>
      </c>
      <c r="F17" s="80"/>
      <c r="G17" s="80"/>
      <c r="H17" s="80"/>
      <c r="I17" s="80"/>
      <c r="J17" s="81"/>
    </row>
    <row r="18" spans="1:19" s="14" customFormat="1" ht="15.75" thickBot="1" x14ac:dyDescent="0.3">
      <c r="A18" s="106"/>
      <c r="B18" s="82" t="s">
        <v>332</v>
      </c>
      <c r="C18" s="83"/>
      <c r="D18" s="84"/>
      <c r="E18" s="82" t="s">
        <v>336</v>
      </c>
      <c r="F18" s="83"/>
      <c r="G18" s="83"/>
      <c r="H18" s="83"/>
      <c r="I18" s="83"/>
      <c r="J18" s="84"/>
      <c r="L18" s="6"/>
      <c r="M18" s="6"/>
      <c r="N18" s="6"/>
      <c r="O18" s="6"/>
      <c r="P18" s="6"/>
      <c r="Q18" s="6"/>
      <c r="R18" s="6"/>
    </row>
    <row r="19" spans="1:19" ht="15.75" thickBot="1" x14ac:dyDescent="0.3">
      <c r="A19" s="107"/>
      <c r="B19" s="85" t="s">
        <v>334</v>
      </c>
      <c r="C19" s="86"/>
      <c r="D19" s="87"/>
      <c r="E19" s="85" t="s">
        <v>376</v>
      </c>
      <c r="F19" s="86"/>
      <c r="G19" s="86"/>
      <c r="H19" s="86"/>
      <c r="I19" s="86"/>
      <c r="J19" s="87"/>
    </row>
    <row r="20" spans="1:19" ht="15.75" thickBot="1" x14ac:dyDescent="0.3">
      <c r="A20" s="108"/>
      <c r="B20" s="88" t="s">
        <v>335</v>
      </c>
      <c r="C20" s="89"/>
      <c r="D20" s="90"/>
      <c r="E20" s="88" t="s">
        <v>377</v>
      </c>
      <c r="F20" s="89"/>
      <c r="G20" s="89"/>
      <c r="H20" s="89"/>
      <c r="I20" s="89"/>
      <c r="J20" s="90"/>
    </row>
    <row r="22" spans="1:19" x14ac:dyDescent="0.25">
      <c r="A22" s="5" t="s">
        <v>269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45" x14ac:dyDescent="0.25">
      <c r="A23" s="57" t="s">
        <v>70</v>
      </c>
      <c r="B23" s="58" t="s">
        <v>305</v>
      </c>
      <c r="C23" s="58" t="s">
        <v>306</v>
      </c>
      <c r="D23" s="58" t="s">
        <v>307</v>
      </c>
      <c r="E23" s="58" t="s">
        <v>78</v>
      </c>
      <c r="F23" s="58" t="s">
        <v>79</v>
      </c>
      <c r="G23" s="58" t="s">
        <v>80</v>
      </c>
      <c r="H23" s="58" t="s">
        <v>81</v>
      </c>
      <c r="I23" s="58" t="s">
        <v>82</v>
      </c>
      <c r="J23" s="58" t="s">
        <v>83</v>
      </c>
      <c r="K23" s="58" t="s">
        <v>84</v>
      </c>
      <c r="L23" s="58" t="s">
        <v>85</v>
      </c>
      <c r="M23" s="58" t="s">
        <v>86</v>
      </c>
      <c r="N23" s="58" t="s">
        <v>87</v>
      </c>
      <c r="O23" s="58" t="s">
        <v>298</v>
      </c>
      <c r="P23" s="58" t="s">
        <v>299</v>
      </c>
      <c r="Q23" s="58" t="s">
        <v>74</v>
      </c>
      <c r="R23" s="59" t="s">
        <v>75</v>
      </c>
      <c r="S23" s="58" t="s">
        <v>76</v>
      </c>
    </row>
    <row r="24" spans="1:19" x14ac:dyDescent="0.25">
      <c r="A24" s="49" t="s">
        <v>88</v>
      </c>
      <c r="B24" s="41">
        <f>ClassACapital</f>
        <v>300000</v>
      </c>
      <c r="C24" s="41">
        <f>ClassACapital</f>
        <v>300000</v>
      </c>
      <c r="D24" s="41">
        <f>-ReturnsTable[[#This Row],[Capital Investment]]</f>
        <v>-300000</v>
      </c>
      <c r="E24" s="41">
        <f>IF(1&gt;SaleExitYear,0,INDEX(WaterfallTable[Total Dist A],MATCH(1,WaterfallTable[Year],0)))</f>
        <v>0</v>
      </c>
      <c r="F24" s="41">
        <f>IF(2&gt;SaleExitYear,0,INDEX(WaterfallTable[Total Dist A],MATCH(2,WaterfallTable[Year],0)))</f>
        <v>41781.439211589022</v>
      </c>
      <c r="G24" s="41">
        <f>IF(3&gt;SaleExitYear,0,INDEX(WaterfallTable[Total Dist A],MATCH(3,WaterfallTable[Year],0)))</f>
        <v>258218.56078841098</v>
      </c>
      <c r="H24" s="41">
        <f>IF(4&gt;SaleExitYear,0,INDEX(WaterfallTable[Total Dist A],MATCH(4,WaterfallTable[Year],0)))</f>
        <v>0</v>
      </c>
      <c r="I24" s="41">
        <f>IF(5&gt;SaleExitYear,0,INDEX(WaterfallTable[Total Dist A],MATCH(5,WaterfallTable[Year],0)))</f>
        <v>278057.43248614768</v>
      </c>
      <c r="J24" s="41">
        <f>IF(6&gt;SaleExitYear,0,INDEX(WaterfallTable[Total Dist A],MATCH(6,WaterfallTable[Year],0)))</f>
        <v>0</v>
      </c>
      <c r="K24" s="41">
        <f>IF(7&gt;SaleExitYear,0,INDEX(WaterfallTable[Total Dist A],MATCH(7,WaterfallTable[Year],0)))</f>
        <v>0</v>
      </c>
      <c r="L24" s="41">
        <f>IF(8&gt;SaleExitYear,0,INDEX(WaterfallTable[Total Dist A],MATCH(8,WaterfallTable[Year],0)))</f>
        <v>0</v>
      </c>
      <c r="M24" s="41">
        <f>IF(9&gt;SaleExitYear,0,INDEX(WaterfallTable[Total Dist A],MATCH(9,WaterfallTable[Year],0)))</f>
        <v>0</v>
      </c>
      <c r="N24" s="41">
        <f>IF(10&gt;SaleExitYear,0,INDEX(WaterfallTable[Total Dist A],MATCH(10,WaterfallTable[Year],0)))</f>
        <v>0</v>
      </c>
      <c r="O24" s="41">
        <f>SUM(ReturnsTable[[#This Row],[Initial Capitalization]:[Year 10]])</f>
        <v>278057.43248614768</v>
      </c>
      <c r="P24" s="41">
        <f>ReturnsTable[[#This Row],[Total Profit]]+ReturnsTable[[#This Row],[Capital Investment]]</f>
        <v>578057.43248614762</v>
      </c>
      <c r="Q24" s="42">
        <f>IFERROR(ReturnsTable[[#This Row],[Total Dist]]/ReturnsTable[[#This Row],[Capital Investment]],0)</f>
        <v>1.9268581082871588</v>
      </c>
      <c r="R24" s="53">
        <f>IFERROR(ReturnsTable[[#This Row],[Total Profit]]/ReturnsTable[[#This Row],[Capital Investment]],0)</f>
        <v>0.92685810828715898</v>
      </c>
      <c r="S24" s="60">
        <f>IFERROR(IRR(ReturnsTable[[#This Row],[Initial Capitalization]:[Year 10]]),0)</f>
        <v>0.18919673669698978</v>
      </c>
    </row>
    <row r="25" spans="1:19" x14ac:dyDescent="0.25">
      <c r="A25" s="50" t="s">
        <v>89</v>
      </c>
      <c r="B25" s="43">
        <f>ClassBCapital</f>
        <v>547500</v>
      </c>
      <c r="C25" s="43">
        <f>ClassBCapital</f>
        <v>547500</v>
      </c>
      <c r="D25" s="43">
        <f>-ReturnsTable[[#This Row],[Capital Investment]]</f>
        <v>-547500</v>
      </c>
      <c r="E25" s="43">
        <f>IF(1&gt;SaleExitYear,0,INDEX(WaterfallTable[Total Dist B],MATCH(1,WaterfallTable[Year],0)))</f>
        <v>0</v>
      </c>
      <c r="F25" s="43">
        <f>IF(2&gt;SaleExitYear,0,INDEX(WaterfallTable[Total Dist B],MATCH(2,WaterfallTable[Year],0)))</f>
        <v>0</v>
      </c>
      <c r="G25" s="43">
        <f>IF(3&gt;SaleExitYear,0,INDEX(WaterfallTable[Total Dist B],MATCH(3,WaterfallTable[Year],0)))</f>
        <v>314885.44678405975</v>
      </c>
      <c r="H25" s="43">
        <f>IF(4&gt;SaleExitYear,0,INDEX(WaterfallTable[Total Dist B],MATCH(4,WaterfallTable[Year],0)))</f>
        <v>34827.567572470594</v>
      </c>
      <c r="I25" s="43">
        <f>IF(5&gt;SaleExitYear,0,INDEX(WaterfallTable[Total Dist B],MATCH(5,WaterfallTable[Year],0)))</f>
        <v>536141.89005558123</v>
      </c>
      <c r="J25" s="43">
        <f>IF(6&gt;SaleExitYear,0,INDEX(WaterfallTable[Total Dist B],MATCH(6,WaterfallTable[Year],0)))</f>
        <v>0</v>
      </c>
      <c r="K25" s="43">
        <f>IF(7&gt;SaleExitYear,0,INDEX(WaterfallTable[Total Dist B],MATCH(7,WaterfallTable[Year],0)))</f>
        <v>0</v>
      </c>
      <c r="L25" s="43">
        <f>IF(8&gt;SaleExitYear,0,INDEX(WaterfallTable[Total Dist B],MATCH(8,WaterfallTable[Year],0)))</f>
        <v>0</v>
      </c>
      <c r="M25" s="43">
        <f>IF(9&gt;SaleExitYear,0,INDEX(WaterfallTable[Total Dist B],MATCH(9,WaterfallTable[Year],0)))</f>
        <v>0</v>
      </c>
      <c r="N25" s="43">
        <f>IF(10&gt;SaleExitYear,0,INDEX(WaterfallTable[Total Dist B],MATCH(10,WaterfallTable[Year],0)))</f>
        <v>0</v>
      </c>
      <c r="O25" s="43">
        <f>SUM(ReturnsTable[[#This Row],[Initial Capitalization]:[Year 10]])</f>
        <v>338354.90441211156</v>
      </c>
      <c r="P25" s="43">
        <f>ReturnsTable[[#This Row],[Total Profit]]+ReturnsTable[[#This Row],[Capital Investment]]</f>
        <v>885854.9044121115</v>
      </c>
      <c r="Q25" s="44">
        <f>IFERROR(ReturnsTable[[#This Row],[Total Dist]]/ReturnsTable[[#This Row],[Capital Investment]],0)</f>
        <v>1.6179998254102492</v>
      </c>
      <c r="R25" s="54">
        <f>IFERROR(ReturnsTable[[#This Row],[Total Profit]]/ReturnsTable[[#This Row],[Capital Investment]],0)</f>
        <v>0.61799982541024945</v>
      </c>
      <c r="S25" s="60">
        <f>IFERROR(IRR(ReturnsTable[[#This Row],[Initial Capitalization]:[Year 10]]),0)</f>
        <v>0.12146973485163892</v>
      </c>
    </row>
    <row r="26" spans="1:19" x14ac:dyDescent="0.25">
      <c r="A26" s="51" t="s">
        <v>90</v>
      </c>
      <c r="B26" s="45">
        <f>SponsorCapitalInvestment</f>
        <v>136283</v>
      </c>
      <c r="C26" s="45">
        <f>SponsorBasis</f>
        <v>100000</v>
      </c>
      <c r="D26" s="45">
        <f>INDEX(WaterfallTable[Total Dist2],MATCH(0,WaterfallTable[Year],0))-ReturnsTable[[#This Row],[Capital Investment]]</f>
        <v>-36283</v>
      </c>
      <c r="E26" s="45">
        <f>IF(1&gt;SaleExitYear,0,INDEX(WaterfallTable[Total Dist2],MATCH(1,WaterfallTable[Year],0)))</f>
        <v>0</v>
      </c>
      <c r="F26" s="45">
        <f>IF(2&gt;SaleExitYear,0,INDEX(WaterfallTable[Total Dist2],MATCH(2,WaterfallTable[Year],0)))</f>
        <v>0</v>
      </c>
      <c r="G26" s="45">
        <f>IF(3&gt;SaleExitYear,0,INDEX(WaterfallTable[Total Dist2],MATCH(3,WaterfallTable[Year],0)))</f>
        <v>0</v>
      </c>
      <c r="H26" s="45">
        <f>IF(4&gt;SaleExitYear,0,INDEX(WaterfallTable[Total Dist2],MATCH(4,WaterfallTable[Year],0)))</f>
        <v>0</v>
      </c>
      <c r="I26" s="45">
        <f>IF(5&gt;SaleExitYear,0,INDEX(WaterfallTable[Total Dist2],MATCH(5,WaterfallTable[Year],0)))</f>
        <v>523754.85203518625</v>
      </c>
      <c r="J26" s="45">
        <f>IF(6&gt;SaleExitYear,0,INDEX(WaterfallTable[Total Dist2],MATCH(6,WaterfallTable[Year],0)))</f>
        <v>0</v>
      </c>
      <c r="K26" s="45">
        <f>IF(7&gt;SaleExitYear,0,INDEX(WaterfallTable[Total Dist2],MATCH(7,WaterfallTable[Year],0)))</f>
        <v>0</v>
      </c>
      <c r="L26" s="45">
        <f>IF(8&gt;SaleExitYear,0,INDEX(WaterfallTable[Total Dist2],MATCH(8,WaterfallTable[Year],0)))</f>
        <v>0</v>
      </c>
      <c r="M26" s="45">
        <f>IF(9&gt;SaleExitYear,0,INDEX(WaterfallTable[Total Dist2],MATCH(9,WaterfallTable[Year],0)))</f>
        <v>0</v>
      </c>
      <c r="N26" s="45">
        <f>IF(10&gt;SaleExitYear,0,INDEX(WaterfallTable[Total Dist2],MATCH(10,WaterfallTable[Year],0)))</f>
        <v>0</v>
      </c>
      <c r="O26" s="45">
        <f>SUM(ReturnsTable[[#This Row],[Initial Capitalization]:[Year 10]])</f>
        <v>487471.85203518625</v>
      </c>
      <c r="P26" s="45">
        <f>ReturnsTable[[#This Row],[Total Profit]]+ReturnsTable[[#This Row],[Capital Investment]]</f>
        <v>623754.85203518625</v>
      </c>
      <c r="Q26" s="46">
        <f>IFERROR(ReturnsTable[[#This Row],[Total Dist]]/ReturnsTable[[#This Row],[Capital Investment]],0)</f>
        <v>4.5769087269519035</v>
      </c>
      <c r="R26" s="55">
        <f>IFERROR(ReturnsTable[[#This Row],[Total Profit]]/ReturnsTable[[#This Row],[Capital Investment]],0)</f>
        <v>3.5769087269519035</v>
      </c>
      <c r="S26" s="60">
        <f>IFERROR(IRR(ReturnsTable[[#This Row],[Initial Capitalization]:[Year 10]]),0)</f>
        <v>0.7056305810885255</v>
      </c>
    </row>
    <row r="27" spans="1:19" x14ac:dyDescent="0.25">
      <c r="A27" s="52" t="s">
        <v>288</v>
      </c>
      <c r="B27" s="47">
        <f>0</f>
        <v>0</v>
      </c>
      <c r="C27" s="47">
        <f>0</f>
        <v>0</v>
      </c>
      <c r="D27" s="47">
        <f>0</f>
        <v>0</v>
      </c>
      <c r="E27" s="47">
        <f>IF(1&gt;SaleExitYear,0,ManagementFeeRate*INDEX(AnnualModelTable[Occupancy Effective Gross Income],MATCH(1,AnnualModelTable[Year],0)))</f>
        <v>2123.94</v>
      </c>
      <c r="F27" s="47">
        <f>IF(2&gt;SaleExitYear,0,ManagementFeeRate*INDEX(AnnualModelTable[Occupancy Effective Gross Income],MATCH(2,AnnualModelTable[Year],0)))</f>
        <v>6737.5152000000007</v>
      </c>
      <c r="G27" s="47">
        <f>IF(3&gt;SaleExitYear,0,ManagementFeeRate*INDEX(AnnualModelTable[Occupancy Effective Gross Income],MATCH(3,AnnualModelTable[Year],0)))</f>
        <v>10213.632000000001</v>
      </c>
      <c r="H27" s="47">
        <f>IF(4&gt;SaleExitYear,0,ManagementFeeRate*INDEX(AnnualModelTable[Occupancy Effective Gross Income],MATCH(4,AnnualModelTable[Year],0)))</f>
        <v>10213.632000000001</v>
      </c>
      <c r="I27" s="47">
        <f>IF(5&gt;SaleExitYear,0,ManagementFeeRate*INDEX(AnnualModelTable[Occupancy Effective Gross Income],MATCH(5,AnnualModelTable[Year],0)))</f>
        <v>10213.632000000001</v>
      </c>
      <c r="J27" s="47">
        <f>IF(6&gt;SaleExitYear,0,ManagementFeeRate*INDEX(AnnualModelTable[Occupancy Effective Gross Income],MATCH(6,AnnualModelTable[Year],0)))</f>
        <v>0</v>
      </c>
      <c r="K27" s="47">
        <f>IF(7&gt;SaleExitYear,0,ManagementFeeRate*INDEX(AnnualModelTable[Occupancy Effective Gross Income],MATCH(7,AnnualModelTable[Year],0)))</f>
        <v>0</v>
      </c>
      <c r="L27" s="47">
        <f>IF(8&gt;SaleExitYear,0,ManagementFeeRate*INDEX(AnnualModelTable[Occupancy Effective Gross Income],MATCH(8,AnnualModelTable[Year],0)))</f>
        <v>0</v>
      </c>
      <c r="M27" s="47">
        <f>IF(9&gt;SaleExitYear,0,ManagementFeeRate*INDEX(AnnualModelTable[Occupancy Effective Gross Income],MATCH(9,AnnualModelTable[Year],0)))</f>
        <v>0</v>
      </c>
      <c r="N27" s="47">
        <f>IF(10&gt;SaleExitYear,0,ManagementFeeRate*INDEX(AnnualModelTable[Occupancy Effective Gross Income],MATCH(10,AnnualModelTable[Year],0)))</f>
        <v>0</v>
      </c>
      <c r="O27" s="47">
        <f>SUM(ReturnsTable[[#This Row],[Initial Capitalization]:[Year 10]])</f>
        <v>39502.351200000005</v>
      </c>
      <c r="P27" s="47">
        <f>ReturnsTable[[#This Row],[Total Profit]]</f>
        <v>39502.351200000005</v>
      </c>
      <c r="Q27" s="48">
        <f>0</f>
        <v>0</v>
      </c>
      <c r="R27" s="56">
        <f>0</f>
        <v>0</v>
      </c>
      <c r="S27" s="60">
        <f>0</f>
        <v>0</v>
      </c>
    </row>
  </sheetData>
  <mergeCells count="12">
    <mergeCell ref="B20:D20"/>
    <mergeCell ref="E20:J20"/>
    <mergeCell ref="E17:J17"/>
    <mergeCell ref="B18:D18"/>
    <mergeCell ref="E18:J18"/>
    <mergeCell ref="B19:D19"/>
    <mergeCell ref="E19:J19"/>
    <mergeCell ref="A1:C1"/>
    <mergeCell ref="J2:M2"/>
    <mergeCell ref="N2:P2"/>
    <mergeCell ref="C2:I2"/>
    <mergeCell ref="B17:D17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R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3" r:id="rId4" name="RefiYearGroup">
              <controlPr defaultSize="0" autoPict="0">
                <anchor moveWithCells="1">
                  <from>
                    <xdr:col>17</xdr:col>
                    <xdr:colOff>47625</xdr:colOff>
                    <xdr:row>3</xdr:row>
                    <xdr:rowOff>114300</xdr:rowOff>
                  </from>
                  <to>
                    <xdr:col>17</xdr:col>
                    <xdr:colOff>790575</xdr:colOff>
                    <xdr:row>14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" name="ExitYearGroup">
              <controlPr defaultSize="0" autoPict="0">
                <anchor moveWithCells="1">
                  <from>
                    <xdr:col>18</xdr:col>
                    <xdr:colOff>47625</xdr:colOff>
                    <xdr:row>3</xdr:row>
                    <xdr:rowOff>114300</xdr:rowOff>
                  </from>
                  <to>
                    <xdr:col>18</xdr:col>
                    <xdr:colOff>790575</xdr:colOff>
                    <xdr:row>14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" name="RefiYearOption_1">
              <controlPr defaultSize="0" autoFill="0" autoLine="0" autoPict="0">
                <anchor moveWithCells="1">
                  <from>
                    <xdr:col>17</xdr:col>
                    <xdr:colOff>114300</xdr:colOff>
                    <xdr:row>4</xdr:row>
                    <xdr:rowOff>9525</xdr:rowOff>
                  </from>
                  <to>
                    <xdr:col>17</xdr:col>
                    <xdr:colOff>409575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7" name="ExitYearOption_1">
              <controlPr defaultSize="0" autoFill="0" autoLine="0" autoPict="0">
                <anchor moveWithCells="1">
                  <from>
                    <xdr:col>18</xdr:col>
                    <xdr:colOff>114300</xdr:colOff>
                    <xdr:row>4</xdr:row>
                    <xdr:rowOff>9525</xdr:rowOff>
                  </from>
                  <to>
                    <xdr:col>18</xdr:col>
                    <xdr:colOff>409575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8" name="RefiYearOption_2">
              <controlPr defaultSize="0" autoFill="0" autoLine="0" autoPict="0">
                <anchor moveWithCells="1">
                  <from>
                    <xdr:col>17</xdr:col>
                    <xdr:colOff>114300</xdr:colOff>
                    <xdr:row>5</xdr:row>
                    <xdr:rowOff>9525</xdr:rowOff>
                  </from>
                  <to>
                    <xdr:col>17</xdr:col>
                    <xdr:colOff>409575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9" name="ExitYearOption_2">
              <controlPr defaultSize="0" autoFill="0" autoLine="0" autoPict="0">
                <anchor moveWithCells="1">
                  <from>
                    <xdr:col>18</xdr:col>
                    <xdr:colOff>114300</xdr:colOff>
                    <xdr:row>5</xdr:row>
                    <xdr:rowOff>9525</xdr:rowOff>
                  </from>
                  <to>
                    <xdr:col>18</xdr:col>
                    <xdr:colOff>409575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" name="RefiYearOption_3">
              <controlPr defaultSize="0" autoFill="0" autoLine="0" autoPict="0">
                <anchor moveWithCells="1">
                  <from>
                    <xdr:col>17</xdr:col>
                    <xdr:colOff>114300</xdr:colOff>
                    <xdr:row>6</xdr:row>
                    <xdr:rowOff>9525</xdr:rowOff>
                  </from>
                  <to>
                    <xdr:col>17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1" name="ExitYearOption_3">
              <controlPr defaultSize="0" autoFill="0" autoLine="0" autoPict="0">
                <anchor moveWithCells="1">
                  <from>
                    <xdr:col>18</xdr:col>
                    <xdr:colOff>114300</xdr:colOff>
                    <xdr:row>6</xdr:row>
                    <xdr:rowOff>9525</xdr:rowOff>
                  </from>
                  <to>
                    <xdr:col>18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2" name="RefiYearOption_4">
              <controlPr defaultSize="0" autoFill="0" autoLine="0" autoPict="0">
                <anchor moveWithCells="1">
                  <from>
                    <xdr:col>17</xdr:col>
                    <xdr:colOff>114300</xdr:colOff>
                    <xdr:row>7</xdr:row>
                    <xdr:rowOff>9525</xdr:rowOff>
                  </from>
                  <to>
                    <xdr:col>17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3" name="ExitYearOption_4">
              <controlPr defaultSize="0" autoFill="0" autoLine="0" autoPict="0">
                <anchor moveWithCells="1">
                  <from>
                    <xdr:col>18</xdr:col>
                    <xdr:colOff>114300</xdr:colOff>
                    <xdr:row>7</xdr:row>
                    <xdr:rowOff>9525</xdr:rowOff>
                  </from>
                  <to>
                    <xdr:col>18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4" name="RefiYearOption_5">
              <controlPr defaultSize="0" autoFill="0" autoLine="0" autoPict="0">
                <anchor moveWithCells="1">
                  <from>
                    <xdr:col>17</xdr:col>
                    <xdr:colOff>114300</xdr:colOff>
                    <xdr:row>8</xdr:row>
                    <xdr:rowOff>9525</xdr:rowOff>
                  </from>
                  <to>
                    <xdr:col>17</xdr:col>
                    <xdr:colOff>409575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5" name="ExitYearOption_5">
              <controlPr defaultSize="0" autoFill="0" autoLine="0" autoPict="0">
                <anchor moveWithCells="1">
                  <from>
                    <xdr:col>18</xdr:col>
                    <xdr:colOff>114300</xdr:colOff>
                    <xdr:row>8</xdr:row>
                    <xdr:rowOff>9525</xdr:rowOff>
                  </from>
                  <to>
                    <xdr:col>18</xdr:col>
                    <xdr:colOff>409575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6" name="RefiYearOption_6">
              <controlPr defaultSize="0" autoFill="0" autoLine="0" autoPict="0">
                <anchor moveWithCells="1">
                  <from>
                    <xdr:col>17</xdr:col>
                    <xdr:colOff>114300</xdr:colOff>
                    <xdr:row>9</xdr:row>
                    <xdr:rowOff>9525</xdr:rowOff>
                  </from>
                  <to>
                    <xdr:col>17</xdr:col>
                    <xdr:colOff>409575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7" name="ExitYearOption_6">
              <controlPr defaultSize="0" autoFill="0" autoLine="0" autoPict="0">
                <anchor moveWithCells="1">
                  <from>
                    <xdr:col>18</xdr:col>
                    <xdr:colOff>114300</xdr:colOff>
                    <xdr:row>9</xdr:row>
                    <xdr:rowOff>9525</xdr:rowOff>
                  </from>
                  <to>
                    <xdr:col>18</xdr:col>
                    <xdr:colOff>409575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8" name="RefiYearOption_7">
              <controlPr defaultSize="0" autoFill="0" autoLine="0" autoPict="0">
                <anchor moveWithCells="1">
                  <from>
                    <xdr:col>17</xdr:col>
                    <xdr:colOff>114300</xdr:colOff>
                    <xdr:row>10</xdr:row>
                    <xdr:rowOff>9525</xdr:rowOff>
                  </from>
                  <to>
                    <xdr:col>17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9" name="ExitYearOption_7">
              <controlPr defaultSize="0" autoFill="0" autoLine="0" autoPict="0">
                <anchor moveWithCells="1">
                  <from>
                    <xdr:col>18</xdr:col>
                    <xdr:colOff>114300</xdr:colOff>
                    <xdr:row>10</xdr:row>
                    <xdr:rowOff>9525</xdr:rowOff>
                  </from>
                  <to>
                    <xdr:col>18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20" name="RefiYearOption_8">
              <controlPr defaultSize="0" autoFill="0" autoLine="0" autoPict="0">
                <anchor moveWithCells="1">
                  <from>
                    <xdr:col>17</xdr:col>
                    <xdr:colOff>114300</xdr:colOff>
                    <xdr:row>11</xdr:row>
                    <xdr:rowOff>9525</xdr:rowOff>
                  </from>
                  <to>
                    <xdr:col>17</xdr:col>
                    <xdr:colOff>409575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21" name="ExitYearOption_8">
              <controlPr defaultSize="0" autoFill="0" autoLine="0" autoPict="0">
                <anchor moveWithCells="1">
                  <from>
                    <xdr:col>18</xdr:col>
                    <xdr:colOff>114300</xdr:colOff>
                    <xdr:row>11</xdr:row>
                    <xdr:rowOff>9525</xdr:rowOff>
                  </from>
                  <to>
                    <xdr:col>18</xdr:col>
                    <xdr:colOff>409575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22" name="RefiYearOption_9">
              <controlPr defaultSize="0" autoFill="0" autoLine="0" autoPict="0">
                <anchor moveWithCells="1">
                  <from>
                    <xdr:col>17</xdr:col>
                    <xdr:colOff>114300</xdr:colOff>
                    <xdr:row>12</xdr:row>
                    <xdr:rowOff>9525</xdr:rowOff>
                  </from>
                  <to>
                    <xdr:col>17</xdr:col>
                    <xdr:colOff>409575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23" name="ExitYearOption_9">
              <controlPr defaultSize="0" autoFill="0" autoLine="0" autoPict="0">
                <anchor moveWithCells="1">
                  <from>
                    <xdr:col>18</xdr:col>
                    <xdr:colOff>114300</xdr:colOff>
                    <xdr:row>12</xdr:row>
                    <xdr:rowOff>9525</xdr:rowOff>
                  </from>
                  <to>
                    <xdr:col>18</xdr:col>
                    <xdr:colOff>409575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24" name="RefiYearOption_10">
              <controlPr defaultSize="0" autoFill="0" autoLine="0" autoPict="0">
                <anchor moveWithCells="1">
                  <from>
                    <xdr:col>17</xdr:col>
                    <xdr:colOff>114300</xdr:colOff>
                    <xdr:row>13</xdr:row>
                    <xdr:rowOff>9525</xdr:rowOff>
                  </from>
                  <to>
                    <xdr:col>17</xdr:col>
                    <xdr:colOff>409575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25" name="ExitYearOption_10">
              <controlPr defaultSize="0" autoFill="0" autoLine="0" autoPict="0">
                <anchor moveWithCells="1">
                  <from>
                    <xdr:col>18</xdr:col>
                    <xdr:colOff>114300</xdr:colOff>
                    <xdr:row>13</xdr:row>
                    <xdr:rowOff>9525</xdr:rowOff>
                  </from>
                  <to>
                    <xdr:col>18</xdr:col>
                    <xdr:colOff>409575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26" name="WfSTR_Group">
              <controlPr defaultSize="0" autoPict="0">
                <anchor moveWithCells="1">
                  <from>
                    <xdr:col>0</xdr:col>
                    <xdr:colOff>0</xdr:colOff>
                    <xdr:row>16</xdr:row>
                    <xdr:rowOff>142875</xdr:rowOff>
                  </from>
                  <to>
                    <xdr:col>0</xdr:col>
                    <xdr:colOff>581025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27" name="WfSTR_Opt_1">
              <controlPr defaultSize="0" autoFill="0" autoLine="0" autoPict="0">
                <anchor moveWithCells="1">
                  <from>
                    <xdr:col>0</xdr:col>
                    <xdr:colOff>142875</xdr:colOff>
                    <xdr:row>16</xdr:row>
                    <xdr:rowOff>190500</xdr:rowOff>
                  </from>
                  <to>
                    <xdr:col>0</xdr:col>
                    <xdr:colOff>447675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28" name="WfSTR_Opt_2">
              <controlPr defaultSize="0" autoFill="0" autoLine="0" autoPict="0">
                <anchor moveWithCells="1">
                  <from>
                    <xdr:col>0</xdr:col>
                    <xdr:colOff>142875</xdr:colOff>
                    <xdr:row>17</xdr:row>
                    <xdr:rowOff>190500</xdr:rowOff>
                  </from>
                  <to>
                    <xdr:col>0</xdr:col>
                    <xdr:colOff>447675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29" name="WfSTR_Opt_3">
              <controlPr defaultSize="0" autoFill="0" autoLine="0" autoPict="0">
                <anchor moveWithCells="1">
                  <from>
                    <xdr:col>0</xdr:col>
                    <xdr:colOff>142875</xdr:colOff>
                    <xdr:row>18</xdr:row>
                    <xdr:rowOff>190500</xdr:rowOff>
                  </from>
                  <to>
                    <xdr:col>0</xdr:col>
                    <xdr:colOff>447675</xdr:colOff>
                    <xdr:row>20</xdr:row>
                    <xdr:rowOff>9525</xdr:rowOff>
                  </to>
                </anchor>
              </controlPr>
            </control>
          </mc:Choice>
        </mc:AlternateContent>
      </controls>
    </mc:Choice>
  </mc:AlternateContent>
  <tableParts count="2">
    <tablePart r:id="rId30"/>
    <tablePart r:id="rId3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100" t="s">
        <v>270</v>
      </c>
      <c r="B1" s="98"/>
      <c r="C1" s="98"/>
      <c r="D1" s="98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70</v>
      </c>
      <c r="B3" s="26" t="s">
        <v>71</v>
      </c>
      <c r="C3" s="26" t="s">
        <v>72</v>
      </c>
      <c r="D3" s="26" t="s">
        <v>73</v>
      </c>
      <c r="E3" s="26" t="s">
        <v>74</v>
      </c>
      <c r="F3" s="26" t="s">
        <v>75</v>
      </c>
      <c r="G3" s="26" t="s">
        <v>76</v>
      </c>
      <c r="H3" s="26" t="s">
        <v>77</v>
      </c>
      <c r="I3" s="26" t="s">
        <v>78</v>
      </c>
      <c r="J3" s="26" t="s">
        <v>79</v>
      </c>
      <c r="K3" s="26" t="s">
        <v>80</v>
      </c>
      <c r="L3" s="26" t="s">
        <v>81</v>
      </c>
      <c r="M3" s="26" t="s">
        <v>82</v>
      </c>
      <c r="N3" s="26" t="s">
        <v>83</v>
      </c>
      <c r="O3" s="26" t="s">
        <v>84</v>
      </c>
      <c r="P3" s="26" t="s">
        <v>85</v>
      </c>
      <c r="Q3" s="26" t="s">
        <v>86</v>
      </c>
      <c r="R3" s="26" t="s">
        <v>87</v>
      </c>
    </row>
    <row r="4" spans="1:20" x14ac:dyDescent="0.25">
      <c r="A4" s="13" t="s">
        <v>88</v>
      </c>
      <c r="B4" s="13">
        <f>ClassACapital</f>
        <v>300000</v>
      </c>
      <c r="C4" s="13">
        <f>SUM(Waterfall!$I$4:$I$14)</f>
        <v>578057.43248614762</v>
      </c>
      <c r="D4" s="13">
        <f>C4-B4</f>
        <v>278057.43248614762</v>
      </c>
      <c r="E4" s="13">
        <f>IFERROR(C4/B4,0)</f>
        <v>1.9268581082871588</v>
      </c>
      <c r="F4" s="24">
        <f>IFERROR(D4/B4,0)</f>
        <v>0.92685810828715876</v>
      </c>
      <c r="G4" s="24">
        <f>IRR(H4:R4)</f>
        <v>0.18919673669698978</v>
      </c>
      <c r="H4" s="13">
        <f>-B4</f>
        <v>-300000</v>
      </c>
      <c r="I4" s="13">
        <f>INDEX(Waterfall!$I$4:$I$14,MATCH(1,Waterfall!$A$4:$A$14,0))</f>
        <v>0</v>
      </c>
      <c r="J4" s="13">
        <f>INDEX(Waterfall!$I$4:$I$14,MATCH(2,Waterfall!$A$4:$A$14,0))</f>
        <v>41781.439211589022</v>
      </c>
      <c r="K4" s="13">
        <f>INDEX(Waterfall!$I$4:$I$14,MATCH(3,Waterfall!$A$4:$A$14,0))</f>
        <v>258218.56078841098</v>
      </c>
      <c r="L4" s="13">
        <f>INDEX(Waterfall!$I$4:$I$14,MATCH(4,Waterfall!$A$4:$A$14,0))</f>
        <v>0</v>
      </c>
      <c r="M4" s="13">
        <f>INDEX(Waterfall!$I$4:$I$14,MATCH(5,Waterfall!$A$4:$A$14,0))</f>
        <v>278057.43248614768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89</v>
      </c>
      <c r="B5" s="13">
        <f>ClassBCapital</f>
        <v>547500</v>
      </c>
      <c r="C5" s="13">
        <f>SUM(Waterfall!$M$4:$M$14)</f>
        <v>885854.9044121115</v>
      </c>
      <c r="D5" s="13">
        <f>C5-B5</f>
        <v>338354.9044121115</v>
      </c>
      <c r="E5" s="13">
        <f>IFERROR(C5/B5,0)</f>
        <v>1.6179998254102492</v>
      </c>
      <c r="F5" s="24">
        <f>IFERROR(D5/B5,0)</f>
        <v>0.61799982541024934</v>
      </c>
      <c r="G5" s="24">
        <f>IFERROR(IRR(H5:R5),0)</f>
        <v>0.12146973485163892</v>
      </c>
      <c r="H5" s="13">
        <f>-B5</f>
        <v>-547500</v>
      </c>
      <c r="I5" s="13">
        <f>INDEX(Waterfall!$M$4:$M$14,MATCH(1,Waterfall!$A$4:$A$14,0))</f>
        <v>0</v>
      </c>
      <c r="J5" s="13">
        <f>INDEX(Waterfall!$M$4:$M$14,MATCH(2,Waterfall!$A$4:$A$14,0))</f>
        <v>0</v>
      </c>
      <c r="K5" s="13">
        <f>INDEX(Waterfall!$M$4:$M$14,MATCH(3,Waterfall!$A$4:$A$14,0))</f>
        <v>314885.44678405975</v>
      </c>
      <c r="L5" s="13">
        <f>INDEX(Waterfall!$M$4:$M$14,MATCH(4,Waterfall!$A$4:$A$14,0))</f>
        <v>34827.567572470594</v>
      </c>
      <c r="M5" s="13">
        <f>INDEX(Waterfall!$M$4:$M$14,MATCH(5,Waterfall!$A$4:$A$14,0))</f>
        <v>536141.89005558123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90</v>
      </c>
      <c r="B6" s="13">
        <f>SponsorBasis</f>
        <v>100000</v>
      </c>
      <c r="C6" s="13">
        <f>SUM(Waterfall!$P$4:$P$14)</f>
        <v>623754.85203518625</v>
      </c>
      <c r="D6" s="13">
        <f>C6-B6</f>
        <v>523754.85203518625</v>
      </c>
      <c r="E6" s="13">
        <f>IFERROR(C6/B6,0)</f>
        <v>6.2375485203518624</v>
      </c>
      <c r="F6" s="24">
        <f>IFERROR(D6/B6,0)</f>
        <v>5.2375485203518624</v>
      </c>
      <c r="G6" s="24">
        <f>IFERROR(IRR(H6:R6),0)</f>
        <v>0.3925975021242103</v>
      </c>
      <c r="H6" s="13">
        <f>-B6</f>
        <v>-100000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523754.85203518625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91</v>
      </c>
      <c r="B9" s="97" t="s">
        <v>266</v>
      </c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92</v>
      </c>
      <c r="B1" s="2"/>
    </row>
    <row r="2" spans="1:2" x14ac:dyDescent="0.25">
      <c r="A2" s="2"/>
      <c r="B2" s="2"/>
    </row>
    <row r="3" spans="1:2" x14ac:dyDescent="0.25">
      <c r="A3" s="4" t="s">
        <v>93</v>
      </c>
      <c r="B3" s="2" t="s">
        <v>94</v>
      </c>
    </row>
    <row r="4" spans="1:2" x14ac:dyDescent="0.25">
      <c r="A4" s="4" t="s">
        <v>95</v>
      </c>
      <c r="B4" s="2" t="s">
        <v>96</v>
      </c>
    </row>
    <row r="5" spans="1:2" x14ac:dyDescent="0.25">
      <c r="A5" s="4" t="s">
        <v>88</v>
      </c>
      <c r="B5" s="2" t="s">
        <v>97</v>
      </c>
    </row>
    <row r="6" spans="1:2" x14ac:dyDescent="0.25">
      <c r="A6" s="4" t="s">
        <v>89</v>
      </c>
      <c r="B6" s="2" t="s">
        <v>98</v>
      </c>
    </row>
    <row r="7" spans="1:2" x14ac:dyDescent="0.25">
      <c r="A7" s="4" t="s">
        <v>90</v>
      </c>
      <c r="B7" s="2" t="s">
        <v>99</v>
      </c>
    </row>
    <row r="8" spans="1:2" x14ac:dyDescent="0.25">
      <c r="A8" s="4" t="s">
        <v>100</v>
      </c>
      <c r="B8" s="2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102</v>
      </c>
      <c r="B1" s="13"/>
      <c r="C1" s="13"/>
    </row>
    <row r="2" spans="1:10" x14ac:dyDescent="0.25">
      <c r="A2" s="13" t="s">
        <v>103</v>
      </c>
      <c r="B2" s="105" t="s">
        <v>104</v>
      </c>
      <c r="C2" s="98"/>
      <c r="D2" s="98"/>
    </row>
    <row r="3" spans="1:10" x14ac:dyDescent="0.25">
      <c r="A3" s="13" t="s">
        <v>105</v>
      </c>
      <c r="B3" s="105" t="s">
        <v>106</v>
      </c>
      <c r="C3" s="98"/>
      <c r="D3" s="98"/>
      <c r="E3" s="98"/>
      <c r="F3" s="98"/>
      <c r="G3" s="98"/>
      <c r="H3" s="98"/>
      <c r="I3" s="98"/>
    </row>
    <row r="4" spans="1:10" x14ac:dyDescent="0.25">
      <c r="A4" s="13"/>
      <c r="B4" s="13"/>
      <c r="C4" s="105"/>
      <c r="D4" s="78"/>
      <c r="E4" s="78"/>
      <c r="F4" s="78"/>
      <c r="H4" s="13"/>
    </row>
    <row r="5" spans="1:10" ht="15.75" thickBot="1" x14ac:dyDescent="0.3">
      <c r="A5" s="13"/>
      <c r="B5" s="13"/>
      <c r="C5" s="105"/>
      <c r="D5" s="78"/>
      <c r="E5" s="78"/>
      <c r="F5" s="78"/>
      <c r="H5" s="13"/>
    </row>
    <row r="6" spans="1:10" ht="15.75" thickBot="1" x14ac:dyDescent="0.3">
      <c r="A6" s="13"/>
      <c r="B6" s="31" t="s">
        <v>107</v>
      </c>
      <c r="C6" s="31" t="s">
        <v>108</v>
      </c>
      <c r="D6" s="5"/>
      <c r="E6" s="5"/>
      <c r="F6" s="5"/>
    </row>
    <row r="7" spans="1:10" ht="15.75" thickBot="1" x14ac:dyDescent="0.3">
      <c r="A7" s="12" t="s">
        <v>109</v>
      </c>
      <c r="B7" s="36" t="s">
        <v>276</v>
      </c>
      <c r="C7" s="36" t="s">
        <v>121</v>
      </c>
      <c r="E7" s="31" t="s">
        <v>110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111</v>
      </c>
      <c r="B8" s="32">
        <f>B27</f>
        <v>847500</v>
      </c>
      <c r="C8" s="33">
        <f>C27</f>
        <v>1585000</v>
      </c>
      <c r="E8" s="31" t="s">
        <v>112</v>
      </c>
      <c r="F8" s="13"/>
      <c r="H8" s="7" t="b">
        <f>$E$8="Sponsor-Controlled"</f>
        <v>1</v>
      </c>
    </row>
    <row r="9" spans="1:10" ht="15.75" thickBot="1" x14ac:dyDescent="0.3">
      <c r="A9" s="13" t="s">
        <v>113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114</v>
      </c>
      <c r="B10" s="7">
        <f>IF($C$6="Low",IF($E$8="Sponsor-Controlled",B8,B9),"")</f>
        <v>847500</v>
      </c>
      <c r="C10" s="7" t="str">
        <f>IF($C$6="High",IF($E$8="Sponsor-Controlled",C8,C9),"")</f>
        <v/>
      </c>
      <c r="E10" s="7"/>
      <c r="F10" s="7"/>
      <c r="G10" s="7">
        <f>IF($C$6="Low",B10,C10)</f>
        <v>847500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115</v>
      </c>
      <c r="B12" s="14" t="s">
        <v>116</v>
      </c>
      <c r="C12" s="14" t="s">
        <v>117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118</v>
      </c>
      <c r="B14" s="13">
        <f>$G$10/5000</f>
        <v>169.5</v>
      </c>
      <c r="C14" s="13"/>
    </row>
    <row r="15" spans="1:10" x14ac:dyDescent="0.25">
      <c r="A15" s="6" t="s">
        <v>119</v>
      </c>
      <c r="B15" s="13">
        <f>$G$10/6000</f>
        <v>141.25</v>
      </c>
      <c r="C15" s="13"/>
    </row>
    <row r="16" spans="1:10" x14ac:dyDescent="0.25">
      <c r="B16" s="13"/>
      <c r="C16" s="13"/>
    </row>
    <row r="17" spans="1:3" x14ac:dyDescent="0.25">
      <c r="A17" s="12" t="s">
        <v>120</v>
      </c>
      <c r="B17" s="12" t="s">
        <v>108</v>
      </c>
      <c r="C17" s="12" t="s">
        <v>121</v>
      </c>
    </row>
    <row r="18" spans="1:3" x14ac:dyDescent="0.25">
      <c r="A18" s="5" t="s">
        <v>273</v>
      </c>
      <c r="B18" s="13">
        <f>SponsorPropertyPayment</f>
        <v>100000</v>
      </c>
      <c r="C18" s="13">
        <f>SponsorPropertyPayment</f>
        <v>100000</v>
      </c>
    </row>
    <row r="19" spans="1:3" x14ac:dyDescent="0.25">
      <c r="A19" s="6" t="s">
        <v>122</v>
      </c>
      <c r="B19" s="13">
        <v>75000</v>
      </c>
      <c r="C19" s="13">
        <v>175000</v>
      </c>
    </row>
    <row r="20" spans="1:3" x14ac:dyDescent="0.25">
      <c r="A20" s="6" t="s">
        <v>277</v>
      </c>
      <c r="B20" s="13">
        <v>40000</v>
      </c>
      <c r="C20" s="13">
        <v>100000</v>
      </c>
    </row>
    <row r="21" spans="1:3" x14ac:dyDescent="0.25">
      <c r="A21" s="6" t="s">
        <v>278</v>
      </c>
      <c r="B21" s="13">
        <v>7500</v>
      </c>
      <c r="C21" s="13">
        <v>10000</v>
      </c>
    </row>
    <row r="22" spans="1:3" x14ac:dyDescent="0.25">
      <c r="A22" s="6" t="s">
        <v>123</v>
      </c>
      <c r="B22" s="13">
        <v>390000</v>
      </c>
      <c r="C22" s="13">
        <v>610000</v>
      </c>
    </row>
    <row r="23" spans="1:3" x14ac:dyDescent="0.25">
      <c r="A23" s="6" t="s">
        <v>124</v>
      </c>
      <c r="B23" s="13">
        <v>55000</v>
      </c>
      <c r="C23" s="13">
        <v>110000</v>
      </c>
    </row>
    <row r="24" spans="1:3" x14ac:dyDescent="0.25">
      <c r="A24" s="6" t="s">
        <v>125</v>
      </c>
      <c r="B24" s="13">
        <v>90000</v>
      </c>
      <c r="C24" s="13">
        <v>225000</v>
      </c>
    </row>
    <row r="25" spans="1:3" x14ac:dyDescent="0.25">
      <c r="A25" s="6" t="s">
        <v>126</v>
      </c>
      <c r="B25" s="13">
        <v>30000</v>
      </c>
      <c r="C25" s="13">
        <v>100000</v>
      </c>
    </row>
    <row r="26" spans="1:3" ht="15.75" thickBot="1" x14ac:dyDescent="0.3">
      <c r="A26" s="6" t="s">
        <v>127</v>
      </c>
      <c r="B26" s="37">
        <v>60000</v>
      </c>
      <c r="C26" s="37">
        <v>155000</v>
      </c>
    </row>
    <row r="27" spans="1:3" x14ac:dyDescent="0.25">
      <c r="A27" s="8" t="s">
        <v>128</v>
      </c>
      <c r="B27" s="7">
        <f>SUM(B18:B26)</f>
        <v>847500</v>
      </c>
      <c r="C27" s="7">
        <f>SUM(C18:C26)</f>
        <v>1585000</v>
      </c>
    </row>
    <row r="28" spans="1:3" x14ac:dyDescent="0.25">
      <c r="A28" s="13" t="s">
        <v>129</v>
      </c>
      <c r="B28" s="11" t="s">
        <v>130</v>
      </c>
      <c r="C28" s="11"/>
    </row>
    <row r="29" spans="1:3" x14ac:dyDescent="0.25">
      <c r="A29" s="13" t="s">
        <v>131</v>
      </c>
      <c r="B29" s="13">
        <f>SelectedProjectCost</f>
        <v>847500</v>
      </c>
      <c r="C29" s="13"/>
    </row>
    <row r="30" spans="1:3" x14ac:dyDescent="0.25">
      <c r="A30" s="13" t="s">
        <v>132</v>
      </c>
      <c r="B30" s="13">
        <f>ClassACapital+ClassBCapital</f>
        <v>847500</v>
      </c>
      <c r="C30" s="13"/>
    </row>
    <row r="31" spans="1:3" x14ac:dyDescent="0.25">
      <c r="A31" s="13" t="s">
        <v>133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134</v>
      </c>
      <c r="B33" s="12" t="s">
        <v>108</v>
      </c>
      <c r="C33" s="12" t="s">
        <v>121</v>
      </c>
    </row>
    <row r="34" spans="1:3" x14ac:dyDescent="0.25">
      <c r="A34" s="10" t="s">
        <v>135</v>
      </c>
      <c r="B34" s="10">
        <v>35000</v>
      </c>
      <c r="C34" s="10">
        <v>90000</v>
      </c>
    </row>
    <row r="35" spans="1:3" x14ac:dyDescent="0.25">
      <c r="A35" s="10" t="s">
        <v>136</v>
      </c>
      <c r="B35" s="10">
        <v>20000</v>
      </c>
      <c r="C35" s="10">
        <v>60000</v>
      </c>
    </row>
    <row r="36" spans="1:3" x14ac:dyDescent="0.25">
      <c r="A36" s="10" t="s">
        <v>137</v>
      </c>
      <c r="B36" s="10">
        <v>20000</v>
      </c>
      <c r="C36" s="10">
        <v>90000</v>
      </c>
    </row>
    <row r="37" spans="1:3" x14ac:dyDescent="0.25">
      <c r="A37" s="10" t="s">
        <v>138</v>
      </c>
      <c r="B37" s="10">
        <v>10000</v>
      </c>
      <c r="C37" s="10">
        <v>30000</v>
      </c>
    </row>
    <row r="38" spans="1:3" x14ac:dyDescent="0.25">
      <c r="A38" s="10" t="s">
        <v>139</v>
      </c>
      <c r="B38" s="10">
        <v>15000</v>
      </c>
      <c r="C38" s="10">
        <v>50000</v>
      </c>
    </row>
    <row r="39" spans="1:3" x14ac:dyDescent="0.25">
      <c r="A39" s="10" t="s">
        <v>140</v>
      </c>
      <c r="B39" s="10">
        <v>15000</v>
      </c>
      <c r="C39" s="10">
        <v>40000</v>
      </c>
    </row>
    <row r="40" spans="1:3" x14ac:dyDescent="0.25">
      <c r="A40" s="10" t="s">
        <v>141</v>
      </c>
      <c r="B40" s="10">
        <v>15000</v>
      </c>
      <c r="C40" s="10">
        <v>45000</v>
      </c>
    </row>
    <row r="41" spans="1:3" x14ac:dyDescent="0.25">
      <c r="A41" s="10" t="s">
        <v>142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143</v>
      </c>
      <c r="B43" s="10" t="s">
        <v>108</v>
      </c>
      <c r="C43" s="10" t="s">
        <v>121</v>
      </c>
    </row>
    <row r="44" spans="1:3" x14ac:dyDescent="0.25">
      <c r="A44" s="10" t="s">
        <v>144</v>
      </c>
      <c r="B44" s="10">
        <v>50000</v>
      </c>
      <c r="C44" s="10">
        <v>150000</v>
      </c>
    </row>
    <row r="45" spans="1:3" x14ac:dyDescent="0.25">
      <c r="A45" s="10" t="s">
        <v>145</v>
      </c>
      <c r="B45" s="10">
        <v>40000</v>
      </c>
      <c r="C45" s="10">
        <v>120000</v>
      </c>
    </row>
    <row r="46" spans="1:3" x14ac:dyDescent="0.25">
      <c r="A46" s="10" t="s">
        <v>146</v>
      </c>
      <c r="B46" s="10">
        <v>25000</v>
      </c>
      <c r="C46" s="10">
        <v>75000</v>
      </c>
    </row>
    <row r="47" spans="1:3" x14ac:dyDescent="0.25">
      <c r="A47" s="10" t="s">
        <v>147</v>
      </c>
      <c r="B47" s="10">
        <v>10000</v>
      </c>
      <c r="C47" s="10">
        <v>30000</v>
      </c>
    </row>
    <row r="48" spans="1:3" x14ac:dyDescent="0.25">
      <c r="A48" s="10" t="s">
        <v>148</v>
      </c>
      <c r="B48" s="10">
        <v>20000</v>
      </c>
      <c r="C48" s="10">
        <v>60000</v>
      </c>
    </row>
    <row r="49" spans="1:4" x14ac:dyDescent="0.25">
      <c r="A49" s="10" t="s">
        <v>149</v>
      </c>
      <c r="B49" s="10">
        <v>40000</v>
      </c>
      <c r="C49" s="10">
        <v>125000</v>
      </c>
    </row>
    <row r="50" spans="1:4" x14ac:dyDescent="0.25">
      <c r="A50" s="10" t="s">
        <v>150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151</v>
      </c>
      <c r="B52" s="10" t="s">
        <v>108</v>
      </c>
      <c r="C52" s="10" t="s">
        <v>121</v>
      </c>
    </row>
    <row r="53" spans="1:4" x14ac:dyDescent="0.25">
      <c r="A53" s="10" t="s">
        <v>152</v>
      </c>
      <c r="B53" s="10">
        <v>1125000</v>
      </c>
      <c r="C53" s="10">
        <v>1950000</v>
      </c>
    </row>
    <row r="54" spans="1:4" x14ac:dyDescent="0.25">
      <c r="A54" s="10" t="s">
        <v>153</v>
      </c>
      <c r="B54" s="10">
        <v>125000</v>
      </c>
      <c r="C54" s="10">
        <v>350000</v>
      </c>
    </row>
    <row r="55" spans="1:4" x14ac:dyDescent="0.25">
      <c r="A55" s="10" t="s">
        <v>154</v>
      </c>
      <c r="B55" s="10">
        <v>35000</v>
      </c>
      <c r="C55" s="10">
        <v>125000</v>
      </c>
    </row>
    <row r="56" spans="1:4" x14ac:dyDescent="0.25">
      <c r="A56" s="10" t="s">
        <v>155</v>
      </c>
      <c r="B56" s="10">
        <v>75000</v>
      </c>
      <c r="C56" s="10">
        <v>300000</v>
      </c>
    </row>
    <row r="57" spans="1:4" x14ac:dyDescent="0.25">
      <c r="A57" s="10" t="s">
        <v>126</v>
      </c>
      <c r="B57" s="10">
        <v>60000</v>
      </c>
      <c r="C57" s="10">
        <v>180000</v>
      </c>
    </row>
    <row r="58" spans="1:4" x14ac:dyDescent="0.25">
      <c r="A58" s="10" t="s">
        <v>156</v>
      </c>
      <c r="B58" s="10">
        <v>145000</v>
      </c>
      <c r="C58" s="10">
        <v>290000</v>
      </c>
    </row>
    <row r="59" spans="1:4" x14ac:dyDescent="0.25">
      <c r="A59" s="10" t="s">
        <v>157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158</v>
      </c>
    </row>
    <row r="62" spans="1:4" x14ac:dyDescent="0.25">
      <c r="A62" s="6" t="s">
        <v>159</v>
      </c>
      <c r="B62" s="98" t="s">
        <v>160</v>
      </c>
      <c r="C62" s="98"/>
      <c r="D62" s="98"/>
    </row>
    <row r="65" spans="1:7" x14ac:dyDescent="0.25">
      <c r="A65" s="12" t="s">
        <v>161</v>
      </c>
    </row>
    <row r="66" spans="1:7" x14ac:dyDescent="0.25">
      <c r="A66" s="6" t="s">
        <v>162</v>
      </c>
      <c r="B66" s="6" t="s">
        <v>163</v>
      </c>
      <c r="C66" s="98" t="s">
        <v>164</v>
      </c>
      <c r="D66" s="98"/>
      <c r="E66" s="98"/>
      <c r="F66" s="98"/>
      <c r="G66" s="98"/>
    </row>
    <row r="67" spans="1:7" x14ac:dyDescent="0.25">
      <c r="A67" s="6" t="s">
        <v>165</v>
      </c>
      <c r="B67" s="6" t="s">
        <v>163</v>
      </c>
      <c r="C67" s="98" t="s">
        <v>164</v>
      </c>
      <c r="D67" s="98"/>
      <c r="E67" s="98"/>
      <c r="F67" s="98"/>
      <c r="G67" s="98"/>
    </row>
    <row r="68" spans="1:7" x14ac:dyDescent="0.25">
      <c r="A68" s="6" t="s">
        <v>166</v>
      </c>
      <c r="B68" s="6" t="s">
        <v>163</v>
      </c>
      <c r="C68" s="98" t="s">
        <v>164</v>
      </c>
      <c r="D68" s="98"/>
      <c r="E68" s="98"/>
      <c r="F68" s="98"/>
      <c r="G68" s="98"/>
    </row>
    <row r="69" spans="1:7" x14ac:dyDescent="0.25">
      <c r="A69" s="6" t="s">
        <v>167</v>
      </c>
      <c r="B69" s="6" t="s">
        <v>163</v>
      </c>
      <c r="C69" s="98" t="s">
        <v>164</v>
      </c>
      <c r="D69" s="98"/>
      <c r="E69" s="98"/>
      <c r="F69" s="98"/>
      <c r="G69" s="98"/>
    </row>
    <row r="70" spans="1:7" x14ac:dyDescent="0.25">
      <c r="A70" s="6" t="s">
        <v>168</v>
      </c>
      <c r="B70" s="6" t="s">
        <v>169</v>
      </c>
      <c r="C70" s="98" t="s">
        <v>170</v>
      </c>
      <c r="D70" s="98"/>
      <c r="E70" s="98"/>
      <c r="F70" s="98"/>
      <c r="G70" s="98"/>
    </row>
    <row r="71" spans="1:7" x14ac:dyDescent="0.25">
      <c r="A71" s="6" t="s">
        <v>171</v>
      </c>
      <c r="B71" s="6" t="s">
        <v>163</v>
      </c>
      <c r="C71" s="98" t="s">
        <v>172</v>
      </c>
      <c r="D71" s="98"/>
      <c r="E71" s="98"/>
      <c r="F71" s="98"/>
      <c r="G71" s="98"/>
    </row>
    <row r="72" spans="1:7" x14ac:dyDescent="0.25">
      <c r="A72" s="6" t="s">
        <v>173</v>
      </c>
      <c r="B72" s="6" t="s">
        <v>163</v>
      </c>
      <c r="C72" s="98" t="s">
        <v>174</v>
      </c>
      <c r="D72" s="98"/>
      <c r="E72" s="98"/>
      <c r="F72" s="98"/>
      <c r="G72" s="98"/>
    </row>
    <row r="73" spans="1:7" x14ac:dyDescent="0.25">
      <c r="A73" s="6" t="s">
        <v>175</v>
      </c>
      <c r="B73" s="6" t="s">
        <v>163</v>
      </c>
      <c r="C73" s="98" t="s">
        <v>176</v>
      </c>
      <c r="D73" s="98"/>
      <c r="E73" s="98"/>
      <c r="F73" s="98"/>
      <c r="G73" s="98"/>
    </row>
    <row r="75" spans="1:7" x14ac:dyDescent="0.25">
      <c r="A75" s="5" t="s">
        <v>177</v>
      </c>
    </row>
    <row r="76" spans="1:7" x14ac:dyDescent="0.25">
      <c r="A76" s="6" t="s">
        <v>178</v>
      </c>
      <c r="B76" s="6" t="s">
        <v>163</v>
      </c>
      <c r="C76" s="98" t="s">
        <v>179</v>
      </c>
      <c r="D76" s="98"/>
      <c r="E76" s="98"/>
      <c r="F76" s="98"/>
      <c r="G76" s="98"/>
    </row>
    <row r="77" spans="1:7" x14ac:dyDescent="0.25">
      <c r="A77" s="6" t="s">
        <v>180</v>
      </c>
      <c r="B77" s="6" t="s">
        <v>169</v>
      </c>
    </row>
    <row r="78" spans="1:7" x14ac:dyDescent="0.25">
      <c r="A78" s="6" t="s">
        <v>181</v>
      </c>
      <c r="B78" s="6" t="s">
        <v>169</v>
      </c>
    </row>
    <row r="79" spans="1:7" x14ac:dyDescent="0.25">
      <c r="A79" s="6" t="s">
        <v>182</v>
      </c>
      <c r="B79" s="6" t="s">
        <v>169</v>
      </c>
    </row>
    <row r="80" spans="1:7" x14ac:dyDescent="0.25">
      <c r="A80" s="6" t="s">
        <v>183</v>
      </c>
      <c r="B80" s="6" t="s">
        <v>169</v>
      </c>
    </row>
    <row r="81" spans="1:7" x14ac:dyDescent="0.25">
      <c r="A81" s="6" t="s">
        <v>184</v>
      </c>
      <c r="B81" s="6" t="s">
        <v>163</v>
      </c>
      <c r="C81" s="98" t="s">
        <v>185</v>
      </c>
      <c r="D81" s="98"/>
      <c r="E81" s="98"/>
      <c r="F81" s="98"/>
      <c r="G81" s="98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186</v>
      </c>
      <c r="B1" s="5"/>
      <c r="C1" s="5"/>
    </row>
    <row r="3" spans="1:9" x14ac:dyDescent="0.25">
      <c r="A3" s="5" t="s">
        <v>187</v>
      </c>
      <c r="B3" s="5"/>
      <c r="C3" s="5"/>
    </row>
    <row r="4" spans="1:9" x14ac:dyDescent="0.25">
      <c r="A4" t="s">
        <v>188</v>
      </c>
      <c r="C4" t="s">
        <v>189</v>
      </c>
      <c r="I4" t="b">
        <v>1</v>
      </c>
    </row>
    <row r="5" spans="1:9" x14ac:dyDescent="0.25">
      <c r="A5" t="s">
        <v>190</v>
      </c>
      <c r="B5" s="1">
        <v>0.4</v>
      </c>
      <c r="C5" t="s">
        <v>191</v>
      </c>
    </row>
    <row r="6" spans="1:9" ht="15.75" thickBot="1" x14ac:dyDescent="0.3">
      <c r="A6" t="s">
        <v>192</v>
      </c>
      <c r="B6" s="1">
        <f>IFERROR(B36/B10,0)</f>
        <v>0.46912485065710868</v>
      </c>
      <c r="C6" t="s">
        <v>193</v>
      </c>
    </row>
    <row r="7" spans="1:9" ht="15.75" thickBot="1" x14ac:dyDescent="0.3">
      <c r="A7" s="16" t="s">
        <v>18</v>
      </c>
      <c r="B7" s="17">
        <f>IF(I4,B6,B5)</f>
        <v>0.46912485065710868</v>
      </c>
      <c r="C7" t="s">
        <v>194</v>
      </c>
    </row>
    <row r="9" spans="1:9" x14ac:dyDescent="0.25">
      <c r="A9" s="5" t="s">
        <v>195</v>
      </c>
      <c r="B9" s="5"/>
      <c r="C9" s="5"/>
    </row>
    <row r="10" spans="1:9" x14ac:dyDescent="0.25">
      <c r="A10" t="s">
        <v>196</v>
      </c>
      <c r="B10" s="2">
        <f>StabilizedMonthlyGrossRent*12*StabilizedOccupancy</f>
        <v>133920</v>
      </c>
      <c r="C10" t="s">
        <v>197</v>
      </c>
    </row>
    <row r="11" spans="1:9" x14ac:dyDescent="0.25">
      <c r="B11" s="2"/>
    </row>
    <row r="12" spans="1:9" x14ac:dyDescent="0.25">
      <c r="A12" s="5" t="s">
        <v>198</v>
      </c>
      <c r="B12" s="7" t="s">
        <v>199</v>
      </c>
      <c r="C12" s="5" t="s">
        <v>200</v>
      </c>
    </row>
    <row r="13" spans="1:9" x14ac:dyDescent="0.25">
      <c r="A13" t="s">
        <v>201</v>
      </c>
      <c r="B13" s="9">
        <v>7000</v>
      </c>
      <c r="C13" t="s">
        <v>202</v>
      </c>
    </row>
    <row r="14" spans="1:9" x14ac:dyDescent="0.25">
      <c r="A14" t="s">
        <v>279</v>
      </c>
      <c r="B14" s="9">
        <v>4350</v>
      </c>
      <c r="C14" t="s">
        <v>280</v>
      </c>
    </row>
    <row r="15" spans="1:9" x14ac:dyDescent="0.25">
      <c r="A15" t="s">
        <v>203</v>
      </c>
      <c r="B15" s="9">
        <f>D15*B10</f>
        <v>8035.2</v>
      </c>
      <c r="C15" t="s">
        <v>297</v>
      </c>
      <c r="D15" s="19">
        <v>0.06</v>
      </c>
    </row>
    <row r="16" spans="1:9" x14ac:dyDescent="0.25">
      <c r="A16" t="s">
        <v>204</v>
      </c>
      <c r="B16" s="9">
        <f>600*12</f>
        <v>7200</v>
      </c>
      <c r="C16" t="s">
        <v>205</v>
      </c>
    </row>
    <row r="17" spans="1:3" x14ac:dyDescent="0.25">
      <c r="A17" t="s">
        <v>206</v>
      </c>
      <c r="B17" s="9">
        <v>500</v>
      </c>
      <c r="C17" t="s">
        <v>207</v>
      </c>
    </row>
    <row r="18" spans="1:3" x14ac:dyDescent="0.25">
      <c r="A18" t="s">
        <v>208</v>
      </c>
      <c r="B18" s="9">
        <v>2400</v>
      </c>
      <c r="C18" t="s">
        <v>209</v>
      </c>
    </row>
    <row r="19" spans="1:3" x14ac:dyDescent="0.25">
      <c r="A19" t="s">
        <v>210</v>
      </c>
      <c r="B19" s="9">
        <v>1800</v>
      </c>
      <c r="C19" t="s">
        <v>211</v>
      </c>
    </row>
    <row r="20" spans="1:3" x14ac:dyDescent="0.25">
      <c r="A20" t="s">
        <v>313</v>
      </c>
      <c r="B20" s="9">
        <v>9000</v>
      </c>
      <c r="C20" t="s">
        <v>314</v>
      </c>
    </row>
    <row r="21" spans="1:3" x14ac:dyDescent="0.25">
      <c r="A21" t="s">
        <v>212</v>
      </c>
      <c r="B21" s="9">
        <f>200*8</f>
        <v>1600</v>
      </c>
      <c r="C21" t="s">
        <v>213</v>
      </c>
    </row>
    <row r="22" spans="1:3" x14ac:dyDescent="0.25">
      <c r="A22" t="s">
        <v>214</v>
      </c>
      <c r="B22" s="9">
        <f>90*20</f>
        <v>1800</v>
      </c>
      <c r="C22" t="s">
        <v>215</v>
      </c>
    </row>
    <row r="23" spans="1:3" x14ac:dyDescent="0.25">
      <c r="A23" t="s">
        <v>216</v>
      </c>
      <c r="B23" s="9">
        <v>600</v>
      </c>
      <c r="C23" t="s">
        <v>211</v>
      </c>
    </row>
    <row r="24" spans="1:3" x14ac:dyDescent="0.25">
      <c r="A24" t="s">
        <v>217</v>
      </c>
      <c r="B24" s="9">
        <v>1000</v>
      </c>
      <c r="C24" t="s">
        <v>218</v>
      </c>
    </row>
    <row r="25" spans="1:3" x14ac:dyDescent="0.25">
      <c r="A25" t="s">
        <v>219</v>
      </c>
      <c r="B25" s="9">
        <v>4000</v>
      </c>
      <c r="C25" t="s">
        <v>220</v>
      </c>
    </row>
    <row r="26" spans="1:3" x14ac:dyDescent="0.25">
      <c r="A26" t="s">
        <v>221</v>
      </c>
      <c r="B26" s="2">
        <v>0</v>
      </c>
      <c r="C26" t="s">
        <v>222</v>
      </c>
    </row>
    <row r="27" spans="1:3" x14ac:dyDescent="0.25">
      <c r="A27" t="s">
        <v>223</v>
      </c>
      <c r="B27" s="2">
        <f>120*12</f>
        <v>1440</v>
      </c>
      <c r="C27" t="s">
        <v>224</v>
      </c>
    </row>
    <row r="28" spans="1:3" x14ac:dyDescent="0.25">
      <c r="A28" t="s">
        <v>225</v>
      </c>
      <c r="B28" s="2"/>
      <c r="C28" t="s">
        <v>226</v>
      </c>
    </row>
    <row r="29" spans="1:3" x14ac:dyDescent="0.25">
      <c r="A29" t="s">
        <v>227</v>
      </c>
      <c r="B29" s="2">
        <v>1200</v>
      </c>
      <c r="C29" t="s">
        <v>228</v>
      </c>
    </row>
    <row r="30" spans="1:3" x14ac:dyDescent="0.25">
      <c r="A30" t="s">
        <v>229</v>
      </c>
      <c r="B30" s="2"/>
      <c r="C30" t="s">
        <v>230</v>
      </c>
    </row>
    <row r="31" spans="1:3" x14ac:dyDescent="0.25">
      <c r="A31" t="s">
        <v>231</v>
      </c>
      <c r="B31" s="2">
        <v>2400</v>
      </c>
      <c r="C31" t="s">
        <v>232</v>
      </c>
    </row>
    <row r="32" spans="1:3" x14ac:dyDescent="0.25">
      <c r="A32" t="s">
        <v>233</v>
      </c>
      <c r="B32" s="2">
        <v>1200</v>
      </c>
      <c r="C32" t="s">
        <v>234</v>
      </c>
    </row>
    <row r="33" spans="1:3" x14ac:dyDescent="0.25">
      <c r="A33" t="s">
        <v>235</v>
      </c>
      <c r="B33" s="2">
        <v>800</v>
      </c>
      <c r="C33" t="s">
        <v>236</v>
      </c>
    </row>
    <row r="34" spans="1:3" x14ac:dyDescent="0.25">
      <c r="A34" t="s">
        <v>237</v>
      </c>
      <c r="B34" s="2">
        <v>2500</v>
      </c>
      <c r="C34" t="s">
        <v>238</v>
      </c>
    </row>
    <row r="35" spans="1:3" ht="15.75" thickBot="1" x14ac:dyDescent="0.3">
      <c r="A35" s="5" t="s">
        <v>239</v>
      </c>
      <c r="B35" s="37">
        <v>4000</v>
      </c>
      <c r="C35" s="5" t="s">
        <v>240</v>
      </c>
    </row>
    <row r="36" spans="1:3" x14ac:dyDescent="0.25">
      <c r="A36" s="5" t="s">
        <v>241</v>
      </c>
      <c r="B36" s="7">
        <f>SUM(B13:B35)</f>
        <v>62825.2</v>
      </c>
      <c r="C36" s="5" t="s">
        <v>242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Props1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80</vt:i4>
      </vt:variant>
    </vt:vector>
  </HeadingPairs>
  <TitlesOfParts>
    <vt:vector size="89" baseType="lpstr">
      <vt:lpstr>STR Notes</vt:lpstr>
      <vt:lpstr>STR Scenarios</vt:lpstr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RepairsMaintenanceReserveTarget</vt:lpstr>
      <vt:lpstr>SaleExitYear</vt:lpstr>
      <vt:lpstr>SelectedAnnualGrossRent</vt:lpstr>
      <vt:lpstr>SelectedCostCase</vt:lpstr>
      <vt:lpstr>SelectedCostCaseId</vt:lpstr>
      <vt:lpstr>SelectedOperatingExpenseRatio</vt:lpstr>
      <vt:lpstr>SelectedOperatingScenario</vt:lpstr>
      <vt:lpstr>SelectedOperatingScenarioId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SelectedWaterfallRefiOption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2026-05-18T06:20:55Z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